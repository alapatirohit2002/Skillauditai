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20371bddacfad88e/Documents/"/>
    </mc:Choice>
  </mc:AlternateContent>
  <xr:revisionPtr revIDLastSave="13" documentId="8_{5B566444-B3F4-49F7-B6FB-671258F19F9E}" xr6:coauthVersionLast="47" xr6:coauthVersionMax="47" xr10:uidLastSave="{D22943B1-28C0-8142-8A91-C6D878A78136}"/>
  <bookViews>
    <workbookView xWindow="-98" yWindow="-98" windowWidth="19396" windowHeight="10395" activeTab="2" xr2:uid="{D41A489C-8BCF-43CF-BC7B-3F7677758899}"/>
  </bookViews>
  <sheets>
    <sheet name="Raw Data" sheetId="1" r:id="rId1"/>
    <sheet name="Calculations" sheetId="4" r:id="rId2"/>
    <sheet name="Dashboard" sheetId="3" r:id="rId3"/>
  </sheets>
  <definedNames>
    <definedName name="_xlcn.WorksheetConnection_Book1MobileSales1" hidden="1">MobileSales[]</definedName>
    <definedName name="Slicer_Category">#N/A</definedName>
    <definedName name="Slicer_City">#N/A</definedName>
  </definedNames>
  <calcPr calcId="191028"/>
  <pivotCaches>
    <pivotCache cacheId="0" r:id="rId4"/>
    <pivotCache cacheId="1" r:id="rId5"/>
    <pivotCache cacheId="2" r:id="rId6"/>
  </pivotCaches>
  <extLst>
    <ext xmlns:x14="http://schemas.microsoft.com/office/spreadsheetml/2009/9/main" uri="{876F7934-8845-4945-9796-88D515C7AA90}">
      <x14:pivotCaches>
        <pivotCache cacheId="3"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obileSales" name="MobileSales" connection="WorksheetConnection_Book1!Mobile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 r="B2" i="3"/>
  <c r="A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Book1!MobileSales" type="102" refreshedVersion="8" minRefreshableVersion="5">
    <extLst>
      <ext xmlns:x15="http://schemas.microsoft.com/office/spreadsheetml/2010/11/main" uri="{DE250136-89BD-433C-8126-D09CA5730AF9}">
        <x15:connection id="MobileSales" autoDelete="1">
          <x15:rangePr sourceName="_xlcn.WorksheetConnection_Book1MobileSales1"/>
        </x15:connection>
      </ext>
    </extLst>
  </connection>
</connections>
</file>

<file path=xl/sharedStrings.xml><?xml version="1.0" encoding="utf-8"?>
<sst xmlns="http://schemas.openxmlformats.org/spreadsheetml/2006/main" count="591" uniqueCount="159">
  <si>
    <t>Date</t>
  </si>
  <si>
    <t>Order_ID</t>
  </si>
  <si>
    <t>City</t>
  </si>
  <si>
    <t>Brand</t>
  </si>
  <si>
    <t>Model</t>
  </si>
  <si>
    <t>Category</t>
  </si>
  <si>
    <t>Unit_Price_INR</t>
  </si>
  <si>
    <t>Units_Sold</t>
  </si>
  <si>
    <t>Total_Revenue_INR</t>
  </si>
  <si>
    <t>IND-2001</t>
  </si>
  <si>
    <t>Hyderabad</t>
  </si>
  <si>
    <t>Xiaomi</t>
  </si>
  <si>
    <t>Redmi 12</t>
  </si>
  <si>
    <t>Budget</t>
  </si>
  <si>
    <t>IND-2002</t>
  </si>
  <si>
    <t>Mumbai</t>
  </si>
  <si>
    <t>Samsung</t>
  </si>
  <si>
    <t>Galaxy A54</t>
  </si>
  <si>
    <t>Mid-Range</t>
  </si>
  <si>
    <t>IND-2003</t>
  </si>
  <si>
    <t>Bangalore</t>
  </si>
  <si>
    <t>Apple</t>
  </si>
  <si>
    <t>iPhone 15 Pro</t>
  </si>
  <si>
    <t>Flagship</t>
  </si>
  <si>
    <t>IND-2004</t>
  </si>
  <si>
    <t>Delhi</t>
  </si>
  <si>
    <t>Vivo</t>
  </si>
  <si>
    <t>V29</t>
  </si>
  <si>
    <t>IND-2005</t>
  </si>
  <si>
    <t>Chennai</t>
  </si>
  <si>
    <t>OnePlus</t>
  </si>
  <si>
    <t>Nord CE 3</t>
  </si>
  <si>
    <t>IND-2006</t>
  </si>
  <si>
    <t>Galaxy M14</t>
  </si>
  <si>
    <t>IND-2007</t>
  </si>
  <si>
    <t>iPhone 13</t>
  </si>
  <si>
    <t>Premium</t>
  </si>
  <si>
    <t>IND-2008</t>
  </si>
  <si>
    <t>Redmi Note 13</t>
  </si>
  <si>
    <t>IND-2009</t>
  </si>
  <si>
    <t>OnePlus 12</t>
  </si>
  <si>
    <t>IND-2010</t>
  </si>
  <si>
    <t>Galaxy S24 Ultra</t>
  </si>
  <si>
    <t>IND-2011</t>
  </si>
  <si>
    <t>IND-2012</t>
  </si>
  <si>
    <t>IND-2013</t>
  </si>
  <si>
    <t>IND-2014</t>
  </si>
  <si>
    <t>IND-2015</t>
  </si>
  <si>
    <t>IND-2016</t>
  </si>
  <si>
    <t>IND-2017</t>
  </si>
  <si>
    <t>IND-2018</t>
  </si>
  <si>
    <t>IND-2019</t>
  </si>
  <si>
    <t>IND-2020</t>
  </si>
  <si>
    <t>IND-2021</t>
  </si>
  <si>
    <t>IND-2022</t>
  </si>
  <si>
    <t>IND-2023</t>
  </si>
  <si>
    <t>IND-2024</t>
  </si>
  <si>
    <t>IND-2025</t>
  </si>
  <si>
    <t>IND-2026</t>
  </si>
  <si>
    <t>IND-2027</t>
  </si>
  <si>
    <t>IND-2028</t>
  </si>
  <si>
    <t>IND-2029</t>
  </si>
  <si>
    <t>IND-2030</t>
  </si>
  <si>
    <t>IND-2031</t>
  </si>
  <si>
    <t>IND-2032</t>
  </si>
  <si>
    <t>IND-2033</t>
  </si>
  <si>
    <t>IND-2034</t>
  </si>
  <si>
    <t>IND-2035</t>
  </si>
  <si>
    <t>IND-2036</t>
  </si>
  <si>
    <t>IND-2037</t>
  </si>
  <si>
    <t>IND-2038</t>
  </si>
  <si>
    <t>IND-2039</t>
  </si>
  <si>
    <t>IND-2040</t>
  </si>
  <si>
    <t>IND-2041</t>
  </si>
  <si>
    <t>IND-2042</t>
  </si>
  <si>
    <t>IND-2043</t>
  </si>
  <si>
    <t>IND-2044</t>
  </si>
  <si>
    <t>IND-2045</t>
  </si>
  <si>
    <t>IND-2046</t>
  </si>
  <si>
    <t>IND-2047</t>
  </si>
  <si>
    <t>IND-2048</t>
  </si>
  <si>
    <t>IND-2049</t>
  </si>
  <si>
    <t>IND-2050</t>
  </si>
  <si>
    <t>IND-2051</t>
  </si>
  <si>
    <t>IND-2052</t>
  </si>
  <si>
    <t>IND-2053</t>
  </si>
  <si>
    <t>IND-2054</t>
  </si>
  <si>
    <t>IND-2055</t>
  </si>
  <si>
    <t>IND-2056</t>
  </si>
  <si>
    <t>IND-2057</t>
  </si>
  <si>
    <t>IND-2058</t>
  </si>
  <si>
    <t>IND-2059</t>
  </si>
  <si>
    <t>IND-2060</t>
  </si>
  <si>
    <t>IND-2061</t>
  </si>
  <si>
    <t>IND-2062</t>
  </si>
  <si>
    <t>IND-2063</t>
  </si>
  <si>
    <t>IND-2064</t>
  </si>
  <si>
    <t>IND-2065</t>
  </si>
  <si>
    <t>IND-2066</t>
  </si>
  <si>
    <t>IND-2067</t>
  </si>
  <si>
    <t>IND-2068</t>
  </si>
  <si>
    <t>IND-2069</t>
  </si>
  <si>
    <t>IND-2070</t>
  </si>
  <si>
    <t>IND-2071</t>
  </si>
  <si>
    <t>IND-2072</t>
  </si>
  <si>
    <t>IND-2073</t>
  </si>
  <si>
    <t>IND-2074</t>
  </si>
  <si>
    <t>IND-2075</t>
  </si>
  <si>
    <t>IND-2076</t>
  </si>
  <si>
    <t>IND-2077</t>
  </si>
  <si>
    <t>IND-2078</t>
  </si>
  <si>
    <t>IND-2079</t>
  </si>
  <si>
    <t>IND-2080</t>
  </si>
  <si>
    <t>IND-2081</t>
  </si>
  <si>
    <t>IND-2082</t>
  </si>
  <si>
    <t>IND-2083</t>
  </si>
  <si>
    <t>IND-2084</t>
  </si>
  <si>
    <t>IND-2085</t>
  </si>
  <si>
    <t>IND-2086</t>
  </si>
  <si>
    <t>IND-2087</t>
  </si>
  <si>
    <t>IND-2088</t>
  </si>
  <si>
    <t>IND-2089</t>
  </si>
  <si>
    <t>IND-2090</t>
  </si>
  <si>
    <t>IND-2091</t>
  </si>
  <si>
    <t>IND-2092</t>
  </si>
  <si>
    <t>IND-2093</t>
  </si>
  <si>
    <t>IND-2094</t>
  </si>
  <si>
    <t>IND-2095</t>
  </si>
  <si>
    <t>IND-2096</t>
  </si>
  <si>
    <t>IND-2097</t>
  </si>
  <si>
    <t>IND-2098</t>
  </si>
  <si>
    <t>IND-2099</t>
  </si>
  <si>
    <t>IND-2100</t>
  </si>
  <si>
    <t>IND-2101</t>
  </si>
  <si>
    <t>IND-2102</t>
  </si>
  <si>
    <t>IND-2103</t>
  </si>
  <si>
    <t>IND-2104</t>
  </si>
  <si>
    <t>IND-2105</t>
  </si>
  <si>
    <t>IND-2106</t>
  </si>
  <si>
    <t>IND-2107</t>
  </si>
  <si>
    <t>IND-2108</t>
  </si>
  <si>
    <t>IND-2109</t>
  </si>
  <si>
    <t>IND-2110</t>
  </si>
  <si>
    <t>Total Sales</t>
  </si>
  <si>
    <t>Top Brand</t>
  </si>
  <si>
    <t>Q2 VS Q1 Growth</t>
  </si>
  <si>
    <t>Row Labels</t>
  </si>
  <si>
    <t>Grand Total</t>
  </si>
  <si>
    <t>Jan</t>
  </si>
  <si>
    <t>Feb</t>
  </si>
  <si>
    <t>Mar</t>
  </si>
  <si>
    <t>Apr</t>
  </si>
  <si>
    <t>May</t>
  </si>
  <si>
    <t>Jun</t>
  </si>
  <si>
    <t>Sum of Total_Revenue_INR</t>
  </si>
  <si>
    <t xml:space="preserve">Mobile Sales Report of XYZ Store from Jan 26 to June 26 </t>
  </si>
  <si>
    <t>Monthly Trend</t>
  </si>
  <si>
    <t>Sales by City</t>
  </si>
  <si>
    <t>Sales by 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</si>
</sst>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INR]\ * #,##0.00_);_([$INR]\ * \(#,##0.00\);_([$INR]\ * &quot;-&quot;??_);_(@_)"/>
    <numFmt numFmtId="165" formatCode="[$INR]\ #,##0.00;[Red][$INR]\ #,##0.00"/>
    <numFmt numFmtId="166" formatCode="[Color10]\▲\ 0.0%;[Color3]\▼\ \-0.0%;0.0%"/>
    <numFmt numFmtId="167" formatCode="_ [$₹-4009]\ * #,##0.00_ ;_ [$₹-4009]\ * \-#,##0.00_ ;_ [$₹-4009]\ * &quot;-&quot;??_ ;_ @_ "/>
  </numFmts>
  <fonts count="4" x14ac:knownFonts="1">
    <font>
      <sz val="11"/>
      <color theme="1"/>
      <name val="Calibri"/>
      <family val="2"/>
      <scheme val="minor"/>
    </font>
    <font>
      <b/>
      <sz val="11"/>
      <color theme="1"/>
      <name val="Times New Roman"/>
      <family val="1"/>
    </font>
    <font>
      <sz val="11"/>
      <color theme="1"/>
      <name val="Times New Roman"/>
      <family val="1"/>
    </font>
    <font>
      <sz val="10"/>
      <color theme="1"/>
      <name val="Times New Roman"/>
      <family val="1"/>
    </font>
  </fonts>
  <fills count="4">
    <fill>
      <patternFill patternType="none"/>
    </fill>
    <fill>
      <patternFill patternType="gray125"/>
    </fill>
    <fill>
      <patternFill patternType="solid">
        <fgColor theme="7"/>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0" fontId="1" fillId="0" borderId="0" xfId="0" applyFont="1"/>
    <xf numFmtId="0" fontId="2" fillId="0" borderId="0" xfId="0" pivotButton="1" applyFont="1"/>
    <xf numFmtId="0" fontId="2" fillId="0" borderId="0" xfId="0" applyFont="1"/>
    <xf numFmtId="0" fontId="2" fillId="0" borderId="0" xfId="0" applyFont="1" applyAlignment="1">
      <alignment horizontal="left"/>
    </xf>
    <xf numFmtId="165" fontId="2" fillId="0" borderId="0" xfId="0" applyNumberFormat="1" applyFont="1"/>
    <xf numFmtId="164" fontId="2" fillId="0" borderId="0" xfId="0" applyNumberFormat="1" applyFont="1"/>
    <xf numFmtId="0" fontId="3" fillId="0" borderId="0" xfId="0" applyFont="1"/>
    <xf numFmtId="166" fontId="2" fillId="0" borderId="0" xfId="0" applyNumberFormat="1" applyFont="1"/>
    <xf numFmtId="166" fontId="3" fillId="0" borderId="0" xfId="0" applyNumberFormat="1" applyFont="1"/>
    <xf numFmtId="167" fontId="0" fillId="0" borderId="0" xfId="0" applyNumberFormat="1"/>
    <xf numFmtId="167" fontId="2" fillId="0" borderId="0" xfId="0" applyNumberFormat="1" applyFont="1"/>
    <xf numFmtId="0" fontId="2" fillId="0" borderId="0" xfId="0" applyNumberFormat="1" applyFont="1"/>
    <xf numFmtId="0" fontId="1" fillId="2" borderId="0" xfId="0" applyFont="1" applyFill="1" applyAlignment="1">
      <alignment horizontal="center"/>
    </xf>
    <xf numFmtId="0" fontId="1" fillId="3" borderId="0" xfId="0" applyFont="1" applyFill="1" applyAlignment="1">
      <alignment horizontal="center"/>
    </xf>
  </cellXfs>
  <cellStyles count="1">
    <cellStyle name="Normal" xfId="0" builtinId="0"/>
  </cellStyles>
  <dxfs count="27">
    <dxf>
      <font>
        <b val="0"/>
        <i val="0"/>
        <strike val="0"/>
        <condense val="0"/>
        <extend val="0"/>
        <outline val="0"/>
        <shadow val="0"/>
        <u val="none"/>
        <vertAlign val="baseline"/>
        <sz val="10"/>
        <color theme="1"/>
        <name val="Times New Roman"/>
        <family val="1"/>
        <scheme val="none"/>
      </font>
      <numFmt numFmtId="166" formatCode="[Color10]\▲\ 0.0%;[Color3]\▼\ \-0.0%;0.0%"/>
    </dxf>
    <dxf>
      <font>
        <b val="0"/>
        <i val="0"/>
        <strike val="0"/>
        <condense val="0"/>
        <extend val="0"/>
        <outline val="0"/>
        <shadow val="0"/>
        <u val="none"/>
        <vertAlign val="baseline"/>
        <sz val="10"/>
        <color theme="1"/>
        <name val="Times New Roman"/>
        <family val="1"/>
        <scheme val="none"/>
      </font>
    </dxf>
    <dxf>
      <font>
        <b val="0"/>
        <i val="0"/>
        <strike val="0"/>
        <condense val="0"/>
        <extend val="0"/>
        <outline val="0"/>
        <shadow val="0"/>
        <u val="none"/>
        <vertAlign val="baseline"/>
        <sz val="11"/>
        <color theme="1"/>
        <name val="Times New Roman"/>
        <family val="1"/>
        <scheme val="none"/>
      </font>
      <numFmt numFmtId="167" formatCode="_ [$₹-4009]\ * #,##0.00_ ;_ [$₹-4009]\ * \-#,##0.00_ ;_ [$₹-4009]\ * &quot;-&quot;??_ ;_ @_ "/>
    </dxf>
    <dxf>
      <border outline="0">
        <bottom style="thin">
          <color indexed="64"/>
        </bottom>
      </border>
    </dxf>
    <dxf>
      <font>
        <strike val="0"/>
        <outline val="0"/>
        <shadow val="0"/>
        <u val="none"/>
        <vertAlign val="baseline"/>
        <color theme="1"/>
        <name val="Times New Roman"/>
        <family val="1"/>
        <scheme val="none"/>
      </font>
    </dxf>
    <dxf>
      <font>
        <strike val="0"/>
        <outline val="0"/>
        <shadow val="0"/>
        <u val="none"/>
        <vertAlign val="baseline"/>
        <color theme="1"/>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7" formatCode="_ [$₹-4009]\ * #,##0.00_ ;_ [$₹-4009]\ * \-#,##0.00_ ;_ [$₹-4009]\ * &quot;-&quot;??_ ;_ @_ "/>
    </dxf>
    <dxf>
      <numFmt numFmtId="167" formatCode="_ [$₹-4009]\ * #,##0.00_ ;_ [$₹-4009]\ * \-#,##0.00_ ;_ [$₹-4009]\ * &quot;-&quot;??_ ;_ @_ "/>
    </dxf>
    <dxf>
      <numFmt numFmtId="168"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 /><Relationship Id="rId13"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pivotCacheDefinition" Target="pivotCache/pivotCacheDefinition4.xml" /><Relationship Id="rId12" Type="http://schemas.openxmlformats.org/officeDocument/2006/relationships/styles" Target="styles.xml" /><Relationship Id="rId2" Type="http://schemas.openxmlformats.org/officeDocument/2006/relationships/worksheet" Target="worksheets/sheet2.xml" /><Relationship Id="rId16" Type="http://schemas.openxmlformats.org/officeDocument/2006/relationships/customXml" Target="../customXml/item1.xml" /><Relationship Id="rId1" Type="http://schemas.openxmlformats.org/officeDocument/2006/relationships/worksheet" Target="worksheets/sheet1.xml" /><Relationship Id="rId6" Type="http://schemas.openxmlformats.org/officeDocument/2006/relationships/pivotCacheDefinition" Target="pivotCache/pivotCacheDefinition3.xml" /><Relationship Id="rId11" Type="http://schemas.openxmlformats.org/officeDocument/2006/relationships/connections" Target="connections.xml" /><Relationship Id="rId5" Type="http://schemas.openxmlformats.org/officeDocument/2006/relationships/pivotCacheDefinition" Target="pivotCache/pivotCacheDefinition2.xml" /><Relationship Id="rId15" Type="http://schemas.openxmlformats.org/officeDocument/2006/relationships/calcChain" Target="calcChain.xml" /><Relationship Id="rId10" Type="http://schemas.openxmlformats.org/officeDocument/2006/relationships/theme" Target="theme/theme1.xml" /><Relationship Id="rId4" Type="http://schemas.openxmlformats.org/officeDocument/2006/relationships/pivotCacheDefinition" Target="pivotCache/pivotCacheDefinition1.xml" /><Relationship Id="rId9" Type="http://schemas.microsoft.com/office/2007/relationships/slicerCache" Target="slicerCaches/slicerCache2.xml" /><Relationship Id="rId14" Type="http://schemas.openxmlformats.org/officeDocument/2006/relationships/powerPivotData" Target="model/item.data"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DASHBOARD.xlsx]Calculations!PivotTable5</c:name>
    <c:fmtId val="4"/>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Monthly Trend</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Calculations!$B$3</c:f>
              <c:strCache>
                <c:ptCount val="1"/>
                <c:pt idx="0">
                  <c:v>Total</c:v>
                </c:pt>
              </c:strCache>
            </c:strRef>
          </c:tx>
          <c:spPr>
            <a:ln w="28575" cap="rnd">
              <a:solidFill>
                <a:schemeClr val="accent1"/>
              </a:solidFill>
              <a:round/>
            </a:ln>
            <a:effectLst/>
          </c:spPr>
          <c:marker>
            <c:symbol val="none"/>
          </c:marker>
          <c:cat>
            <c:strRef>
              <c:f>Calculations!$A$4:$A$10</c:f>
              <c:strCache>
                <c:ptCount val="6"/>
                <c:pt idx="0">
                  <c:v>Jan</c:v>
                </c:pt>
                <c:pt idx="1">
                  <c:v>Feb</c:v>
                </c:pt>
                <c:pt idx="2">
                  <c:v>Mar</c:v>
                </c:pt>
                <c:pt idx="3">
                  <c:v>Apr</c:v>
                </c:pt>
                <c:pt idx="4">
                  <c:v>May</c:v>
                </c:pt>
                <c:pt idx="5">
                  <c:v>Jun</c:v>
                </c:pt>
              </c:strCache>
            </c:strRef>
          </c:cat>
          <c:val>
            <c:numRef>
              <c:f>Calculations!$B$4:$B$10</c:f>
              <c:numCache>
                <c:formatCode>General</c:formatCode>
                <c:ptCount val="6"/>
                <c:pt idx="0">
                  <c:v>3326877</c:v>
                </c:pt>
                <c:pt idx="1">
                  <c:v>3533858</c:v>
                </c:pt>
                <c:pt idx="2">
                  <c:v>4578826</c:v>
                </c:pt>
                <c:pt idx="3">
                  <c:v>4068834</c:v>
                </c:pt>
                <c:pt idx="4">
                  <c:v>4725842</c:v>
                </c:pt>
                <c:pt idx="5">
                  <c:v>13953462</c:v>
                </c:pt>
              </c:numCache>
            </c:numRef>
          </c:val>
          <c:smooth val="0"/>
          <c:extLst>
            <c:ext xmlns:c16="http://schemas.microsoft.com/office/drawing/2014/chart" uri="{C3380CC4-5D6E-409C-BE32-E72D297353CC}">
              <c16:uniqueId val="{00000000-201B-4A42-B01D-9452D18881A7}"/>
            </c:ext>
          </c:extLst>
        </c:ser>
        <c:dLbls>
          <c:showLegendKey val="0"/>
          <c:showVal val="0"/>
          <c:showCatName val="0"/>
          <c:showSerName val="0"/>
          <c:showPercent val="0"/>
          <c:showBubbleSize val="0"/>
        </c:dLbls>
        <c:smooth val="0"/>
        <c:axId val="954114351"/>
        <c:axId val="41791583"/>
      </c:lineChart>
      <c:catAx>
        <c:axId val="95411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1791583"/>
        <c:crosses val="autoZero"/>
        <c:auto val="1"/>
        <c:lblAlgn val="ctr"/>
        <c:lblOffset val="100"/>
        <c:noMultiLvlLbl val="0"/>
      </c:catAx>
      <c:valAx>
        <c:axId val="4179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5411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DASHBOARD.xlsx]Calculations!PivotTable6</c:name>
    <c:fmtId val="4"/>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Sales by City</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Calculations!$F$3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D4-4E6C-ABE6-399E319145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D4-4E6C-ABE6-399E319145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D4-4E6C-ABE6-399E319145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D4-4E6C-ABE6-399E3191452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8D4-4E6C-ABE6-399E31914526}"/>
              </c:ext>
            </c:extLst>
          </c:dPt>
          <c:cat>
            <c:strRef>
              <c:f>Calculations!$E$4:$E$9</c:f>
              <c:strCache>
                <c:ptCount val="5"/>
                <c:pt idx="0">
                  <c:v>Bangalore</c:v>
                </c:pt>
                <c:pt idx="1">
                  <c:v>Chennai</c:v>
                </c:pt>
                <c:pt idx="2">
                  <c:v>Delhi</c:v>
                </c:pt>
                <c:pt idx="3">
                  <c:v>Hyderabad</c:v>
                </c:pt>
                <c:pt idx="4">
                  <c:v>Mumbai</c:v>
                </c:pt>
              </c:strCache>
            </c:strRef>
          </c:cat>
          <c:val>
            <c:numRef>
              <c:f>Calculations!$F$4:$F$9</c:f>
              <c:numCache>
                <c:formatCode>General</c:formatCode>
                <c:ptCount val="5"/>
                <c:pt idx="0">
                  <c:v>6829708</c:v>
                </c:pt>
                <c:pt idx="1">
                  <c:v>6801726</c:v>
                </c:pt>
                <c:pt idx="2">
                  <c:v>6696736</c:v>
                </c:pt>
                <c:pt idx="3">
                  <c:v>6830795</c:v>
                </c:pt>
                <c:pt idx="4">
                  <c:v>7028734</c:v>
                </c:pt>
              </c:numCache>
            </c:numRef>
          </c:val>
          <c:extLst>
            <c:ext xmlns:c16="http://schemas.microsoft.com/office/drawing/2014/chart" uri="{C3380CC4-5D6E-409C-BE32-E72D297353CC}">
              <c16:uniqueId val="{0000000A-D8D4-4E6C-ABE6-399E3191452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DASHBOARD.xlsx]Calculations!PivotTable7</c:name>
    <c:fmtId val="4"/>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Sales by Brand</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Calculations!$I$4:$I$9</c:f>
              <c:strCache>
                <c:ptCount val="5"/>
                <c:pt idx="0">
                  <c:v>Apple</c:v>
                </c:pt>
                <c:pt idx="1">
                  <c:v>OnePlus</c:v>
                </c:pt>
                <c:pt idx="2">
                  <c:v>Samsung</c:v>
                </c:pt>
                <c:pt idx="3">
                  <c:v>Vivo</c:v>
                </c:pt>
                <c:pt idx="4">
                  <c:v>Xiaomi</c:v>
                </c:pt>
              </c:strCache>
            </c:strRef>
          </c:cat>
          <c:val>
            <c:numRef>
              <c:f>Calculations!$J$4:$J$9</c:f>
              <c:numCache>
                <c:formatCode>General</c:formatCode>
                <c:ptCount val="5"/>
                <c:pt idx="0">
                  <c:v>7214901</c:v>
                </c:pt>
                <c:pt idx="1">
                  <c:v>7209790</c:v>
                </c:pt>
                <c:pt idx="2">
                  <c:v>9591632</c:v>
                </c:pt>
                <c:pt idx="3">
                  <c:v>3561863</c:v>
                </c:pt>
                <c:pt idx="4">
                  <c:v>6609513</c:v>
                </c:pt>
              </c:numCache>
            </c:numRef>
          </c:val>
          <c:extLst>
            <c:ext xmlns:c16="http://schemas.microsoft.com/office/drawing/2014/chart" uri="{C3380CC4-5D6E-409C-BE32-E72D297353CC}">
              <c16:uniqueId val="{00000000-1D4C-4B20-8B10-598003E2C976}"/>
            </c:ext>
          </c:extLst>
        </c:ser>
        <c:dLbls>
          <c:dLblPos val="outEnd"/>
          <c:showLegendKey val="0"/>
          <c:showVal val="1"/>
          <c:showCatName val="0"/>
          <c:showSerName val="0"/>
          <c:showPercent val="0"/>
          <c:showBubbleSize val="0"/>
        </c:dLbls>
        <c:gapWidth val="182"/>
        <c:axId val="85063551"/>
        <c:axId val="5148511"/>
      </c:barChart>
      <c:catAx>
        <c:axId val="850635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148511"/>
        <c:crosses val="autoZero"/>
        <c:auto val="1"/>
        <c:lblAlgn val="ctr"/>
        <c:lblOffset val="100"/>
        <c:noMultiLvlLbl val="0"/>
      </c:catAx>
      <c:valAx>
        <c:axId val="5148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506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90704</xdr:rowOff>
    </xdr:from>
    <xdr:to>
      <xdr:col>5</xdr:col>
      <xdr:colOff>113044</xdr:colOff>
      <xdr:row>26</xdr:row>
      <xdr:rowOff>73635</xdr:rowOff>
    </xdr:to>
    <xdr:graphicFrame macro="">
      <xdr:nvGraphicFramePr>
        <xdr:cNvPr id="9" name="Chart 8">
          <a:extLst>
            <a:ext uri="{FF2B5EF4-FFF2-40B4-BE49-F238E27FC236}">
              <a16:creationId xmlns:a16="http://schemas.microsoft.com/office/drawing/2014/main" id="{60700CF5-0B50-4927-86B9-17711AFE1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294146</xdr:colOff>
      <xdr:row>11</xdr:row>
      <xdr:rowOff>107105</xdr:rowOff>
    </xdr:from>
    <xdr:to>
      <xdr:col>12</xdr:col>
      <xdr:colOff>323454</xdr:colOff>
      <xdr:row>26</xdr:row>
      <xdr:rowOff>100029</xdr:rowOff>
    </xdr:to>
    <xdr:graphicFrame macro="">
      <xdr:nvGraphicFramePr>
        <xdr:cNvPr id="10" name="Chart 9">
          <a:extLst>
            <a:ext uri="{FF2B5EF4-FFF2-40B4-BE49-F238E27FC236}">
              <a16:creationId xmlns:a16="http://schemas.microsoft.com/office/drawing/2014/main" id="{E6E5A734-73C6-4B9D-B936-A1CD8C75C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595993</xdr:colOff>
      <xdr:row>11</xdr:row>
      <xdr:rowOff>138684</xdr:rowOff>
    </xdr:from>
    <xdr:to>
      <xdr:col>19</xdr:col>
      <xdr:colOff>625299</xdr:colOff>
      <xdr:row>26</xdr:row>
      <xdr:rowOff>134288</xdr:rowOff>
    </xdr:to>
    <xdr:graphicFrame macro="">
      <xdr:nvGraphicFramePr>
        <xdr:cNvPr id="11" name="Chart 10">
          <a:extLst>
            <a:ext uri="{FF2B5EF4-FFF2-40B4-BE49-F238E27FC236}">
              <a16:creationId xmlns:a16="http://schemas.microsoft.com/office/drawing/2014/main" id="{BE96775C-A9C9-4FAA-866D-DBBEFBD5B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1663</xdr:rowOff>
    </xdr:from>
    <xdr:to>
      <xdr:col>4</xdr:col>
      <xdr:colOff>49214</xdr:colOff>
      <xdr:row>8</xdr:row>
      <xdr:rowOff>153866</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AE1876A3-1A71-4E90-462E-0ABE4B62527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702031"/>
              <a:ext cx="4734674" cy="852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72148</xdr:colOff>
      <xdr:row>3</xdr:row>
      <xdr:rowOff>102579</xdr:rowOff>
    </xdr:from>
    <xdr:to>
      <xdr:col>16</xdr:col>
      <xdr:colOff>132816</xdr:colOff>
      <xdr:row>8</xdr:row>
      <xdr:rowOff>82884</xdr:rowOff>
    </xdr:to>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835F7561-A655-DEDF-0C63-0EB72CD26C6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690623" y="627855"/>
              <a:ext cx="5859712" cy="8557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46.891035763889" createdVersion="8" refreshedVersion="8" minRefreshableVersion="3" recordCount="110" xr:uid="{ADD75DEA-4610-430F-9DA0-DAB36D1C33DC}">
  <cacheSource type="worksheet">
    <worksheetSource name="MobileSales"/>
  </cacheSource>
  <cacheFields count="11">
    <cacheField name="Date" numFmtId="14">
      <sharedItems containsSemiMixedTypes="0" containsNonDate="0" containsDate="1" containsString="0" minDate="2026-01-01T00:00:00" maxDate="2026-07-01T00:00:00" count="93">
        <d v="2026-01-01T00:00:00"/>
        <d v="2026-01-02T00:00:00"/>
        <d v="2026-01-04T00:00:00"/>
        <d v="2026-01-05T00:00:00"/>
        <d v="2026-01-07T00:00:00"/>
        <d v="2026-01-09T00:00:00"/>
        <d v="2026-01-11T00:00:00"/>
        <d v="2026-01-12T00:00:00"/>
        <d v="2026-01-15T00:00:00"/>
        <d v="2026-01-18T00:00:00"/>
        <d v="2026-01-20T00:00:00"/>
        <d v="2026-01-22T00:00:00"/>
        <d v="2026-01-24T00:00:00"/>
        <d v="2026-01-26T00:00:00"/>
        <d v="2026-01-28T00:00:00"/>
        <d v="2026-01-30T00:00:00"/>
        <d v="2026-02-01T00:00:00"/>
        <d v="2026-02-03T00:00:00"/>
        <d v="2026-02-05T00:00:00"/>
        <d v="2026-02-07T00:00:00"/>
        <d v="2026-02-10T00:00:00"/>
        <d v="2026-02-12T00:00:00"/>
        <d v="2026-02-14T00:00:00"/>
        <d v="2026-02-16T00:00:00"/>
        <d v="2026-02-18T00:00:00"/>
        <d v="2026-02-21T00:00:00"/>
        <d v="2026-02-23T00:00:00"/>
        <d v="2026-02-25T00:00:00"/>
        <d v="2026-02-27T00:00:00"/>
        <d v="2026-03-01T00:00:00"/>
        <d v="2026-03-03T00:00:00"/>
        <d v="2026-03-05T00:00:00"/>
        <d v="2026-03-07T00:00:00"/>
        <d v="2026-03-09T00:00:00"/>
        <d v="2026-03-12T00:00:00"/>
        <d v="2026-03-14T00:00:00"/>
        <d v="2026-03-16T00:00:00"/>
        <d v="2026-03-18T00:00:00"/>
        <d v="2026-03-21T00:00:00"/>
        <d v="2026-03-23T00:00:00"/>
        <d v="2026-03-25T00:00:00"/>
        <d v="2026-03-27T00:00:00"/>
        <d v="2026-03-29T00:00:00"/>
        <d v="2026-03-31T00:00:00"/>
        <d v="2026-04-02T00:00:00"/>
        <d v="2026-04-04T00:00:00"/>
        <d v="2026-04-06T00:00:00"/>
        <d v="2026-04-08T00:00:00"/>
        <d v="2026-04-10T00:00:00"/>
        <d v="2026-04-12T00:00:00"/>
        <d v="2026-04-15T00:00:00"/>
        <d v="2026-04-17T00:00:00"/>
        <d v="2026-04-19T00:00:00"/>
        <d v="2026-04-21T00:00:00"/>
        <d v="2026-04-23T00:00:00"/>
        <d v="2026-04-25T00:00:00"/>
        <d v="2026-04-27T00:00:00"/>
        <d v="2026-04-29T00:00:00"/>
        <d v="2026-05-02T00:00:00"/>
        <d v="2026-05-04T00:00:00"/>
        <d v="2026-05-06T00:00:00"/>
        <d v="2026-05-08T00:00:00"/>
        <d v="2026-05-10T00:00:00"/>
        <d v="2026-05-12T00:00:00"/>
        <d v="2026-05-15T00:00:00"/>
        <d v="2026-05-17T00:00:00"/>
        <d v="2026-05-19T00:00:00"/>
        <d v="2026-05-21T00:00:00"/>
        <d v="2026-05-23T00:00:00"/>
        <d v="2026-05-25T00:00:00"/>
        <d v="2026-05-27T00:00:00"/>
        <d v="2026-05-29T00:00:00"/>
        <d v="2026-05-31T00:00:00"/>
        <d v="2026-06-02T00:00:00"/>
        <d v="2026-06-04T00:00:00"/>
        <d v="2026-06-06T00:00:00"/>
        <d v="2026-06-08T00:00:00"/>
        <d v="2026-06-10T00:00:00"/>
        <d v="2026-06-12T00:00:00"/>
        <d v="2026-06-14T00:00:00"/>
        <d v="2026-06-16T00:00:00"/>
        <d v="2026-06-18T00:00:00"/>
        <d v="2026-06-20T00:00:00"/>
        <d v="2026-06-21T00:00:00"/>
        <d v="2026-06-22T00:00:00"/>
        <d v="2026-06-23T00:00:00"/>
        <d v="2026-06-24T00:00:00"/>
        <d v="2026-06-25T00:00:00"/>
        <d v="2026-06-26T00:00:00"/>
        <d v="2026-06-27T00:00:00"/>
        <d v="2026-06-28T00:00:00"/>
        <d v="2026-06-29T00:00:00"/>
        <d v="2026-06-30T00:00:00"/>
      </sharedItems>
      <fieldGroup par="10"/>
    </cacheField>
    <cacheField name="Order_ID" numFmtId="0">
      <sharedItems/>
    </cacheField>
    <cacheField name="City" numFmtId="0">
      <sharedItems/>
    </cacheField>
    <cacheField name="Brand" numFmtId="0">
      <sharedItems count="5">
        <s v="Xiaomi"/>
        <s v="Samsung"/>
        <s v="Apple"/>
        <s v="Vivo"/>
        <s v="OnePlus"/>
      </sharedItems>
    </cacheField>
    <cacheField name="Model" numFmtId="0">
      <sharedItems/>
    </cacheField>
    <cacheField name="Category" numFmtId="0">
      <sharedItems/>
    </cacheField>
    <cacheField name="Unit_Price_INR" numFmtId="164">
      <sharedItems containsSemiMixedTypes="0" containsString="0" containsNumber="1" containsInteger="1" minValue="9999" maxValue="134999"/>
    </cacheField>
    <cacheField name="Units_Sold" numFmtId="0">
      <sharedItems containsSemiMixedTypes="0" containsString="0" containsNumber="1" containsInteger="1" minValue="1" maxValue="40"/>
    </cacheField>
    <cacheField name="Total_Revenue_INR" numFmtId="0">
      <sharedItems containsSemiMixedTypes="0" containsString="0" containsNumber="1" containsInteger="1" minValue="119988" maxValue="674995"/>
    </cacheField>
    <cacheField name="Days (Date)" numFmtId="0" databaseField="0">
      <fieldGroup base="0">
        <rangePr groupBy="days" startDate="2026-01-01T00:00:00" endDate="2026-07-01T00:00:00"/>
        <groupItems count="368">
          <s v="&lt;01-01-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6"/>
        </groupItems>
      </fieldGroup>
    </cacheField>
    <cacheField name="Months (Date)" numFmtId="0" databaseField="0">
      <fieldGroup base="0">
        <rangePr groupBy="months" startDate="2026-01-01T00:00:00" endDate="2026-07-01T00:00:00"/>
        <groupItems count="14">
          <s v="&lt;01-01-26"/>
          <s v="Jan"/>
          <s v="Feb"/>
          <s v="Mar"/>
          <s v="Apr"/>
          <s v="May"/>
          <s v="Jun"/>
          <s v="Jul"/>
          <s v="Aug"/>
          <s v="Sep"/>
          <s v="Oct"/>
          <s v="Nov"/>
          <s v="Dec"/>
          <s v="&gt;01-07-26"/>
        </groupItems>
      </fieldGroup>
    </cacheField>
  </cacheFields>
  <extLst>
    <ext xmlns:x14="http://schemas.microsoft.com/office/spreadsheetml/2009/9/main" uri="{725AE2AE-9491-48be-B2B4-4EB974FC3084}">
      <x14:pivotCacheDefinition pivotCacheId="21059559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6.908527314816" backgroundQuery="1" createdVersion="8" refreshedVersion="8" minRefreshableVersion="3" recordCount="0" supportSubquery="1" supportAdvancedDrill="1" xr:uid="{46F6E36F-0C7C-4CCC-80B5-D508EDAFF62B}">
  <cacheSource type="external" connectionId="1"/>
  <cacheFields count="3">
    <cacheField name="[MobileSales].[City].[City]" caption="City" numFmtId="0" hierarchy="2" level="1">
      <sharedItems count="5">
        <s v="Bangalore"/>
        <s v="Chennai"/>
        <s v="Delhi"/>
        <s v="Hyderabad"/>
        <s v="Mumbai"/>
      </sharedItems>
    </cacheField>
    <cacheField name="[Measures].[Sum of Total_Revenue_INR]" caption="Sum of Total_Revenue_INR" numFmtId="0" hierarchy="13" level="32767"/>
    <cacheField name="[MobileSales].[Category].[Category]" caption="Category" numFmtId="0" hierarchy="5" level="1">
      <sharedItems containsSemiMixedTypes="0" containsNonDate="0" containsString="0"/>
    </cacheField>
  </cacheFields>
  <cacheHierarchies count="14">
    <cacheHierarchy uniqueName="[MobileSales].[Date]" caption="Date" attribute="1" time="1" defaultMemberUniqueName="[MobileSales].[Date].[All]" allUniqueName="[MobileSales].[Date].[All]" dimensionUniqueName="[MobileSales]" displayFolder="" count="0" memberValueDatatype="7" unbalanced="0"/>
    <cacheHierarchy uniqueName="[MobileSales].[Order_ID]" caption="Order_ID" attribute="1" defaultMemberUniqueName="[MobileSales].[Order_ID].[All]" allUniqueName="[MobileSales].[Order_ID].[All]" dimensionUniqueName="[MobileSales]" displayFolder="" count="0" memberValueDatatype="130" unbalanced="0"/>
    <cacheHierarchy uniqueName="[MobileSales].[City]" caption="City" attribute="1" defaultMemberUniqueName="[MobileSales].[City].[All]" allUniqueName="[MobileSales].[City].[All]" dimensionUniqueName="[MobileSales]" displayFolder="" count="2" memberValueDatatype="130" unbalanced="0">
      <fieldsUsage count="2">
        <fieldUsage x="-1"/>
        <fieldUsage x="0"/>
      </fieldsUsage>
    </cacheHierarchy>
    <cacheHierarchy uniqueName="[MobileSales].[Brand]" caption="Brand" attribute="1" defaultMemberUniqueName="[MobileSales].[Brand].[All]" allUniqueName="[MobileSales].[Brand].[All]" dimensionUniqueName="[MobileSales]" displayFolder="" count="0" memberValueDatatype="130" unbalanced="0"/>
    <cacheHierarchy uniqueName="[MobileSales].[Model]" caption="Model" attribute="1" defaultMemberUniqueName="[MobileSales].[Model].[All]" allUniqueName="[MobileSales].[Model].[All]" dimensionUniqueName="[MobileSales]" displayFolder="" count="0" memberValueDatatype="130" unbalanced="0"/>
    <cacheHierarchy uniqueName="[MobileSales].[Category]" caption="Category" attribute="1" defaultMemberUniqueName="[MobileSales].[Category].[All]" allUniqueName="[MobileSales].[Category].[All]" dimensionUniqueName="[MobileSales]" displayFolder="" count="2" memberValueDatatype="130" unbalanced="0">
      <fieldsUsage count="2">
        <fieldUsage x="-1"/>
        <fieldUsage x="2"/>
      </fieldsUsage>
    </cacheHierarchy>
    <cacheHierarchy uniqueName="[MobileSales].[Unit_Price_INR]" caption="Unit_Price_INR" attribute="1" defaultMemberUniqueName="[MobileSales].[Unit_Price_INR].[All]" allUniqueName="[MobileSales].[Unit_Price_INR].[All]" dimensionUniqueName="[MobileSales]" displayFolder="" count="0" memberValueDatatype="20" unbalanced="0"/>
    <cacheHierarchy uniqueName="[MobileSales].[Units_Sold]" caption="Units_Sold" attribute="1" defaultMemberUniqueName="[MobileSales].[Units_Sold].[All]" allUniqueName="[MobileSales].[Units_Sold].[All]" dimensionUniqueName="[MobileSales]" displayFolder="" count="0" memberValueDatatype="20" unbalanced="0"/>
    <cacheHierarchy uniqueName="[MobileSales].[Total_Revenue_INR]" caption="Total_Revenue_INR" attribute="1" defaultMemberUniqueName="[MobileSales].[Total_Revenue_INR].[All]" allUniqueName="[MobileSales].[Total_Revenue_INR].[All]" dimensionUniqueName="[MobileSales]" displayFolder="" count="0" memberValueDatatype="20" unbalanced="0"/>
    <cacheHierarchy uniqueName="[MobileSales].[Date (Month)]" caption="Date (Month)" attribute="1" defaultMemberUniqueName="[MobileSales].[Date (Month)].[All]" allUniqueName="[MobileSales].[Date (Month)].[All]" dimensionUniqueName="[MobileSales]" displayFolder="" count="0" memberValueDatatype="130" unbalanced="0"/>
    <cacheHierarchy uniqueName="[MobileSales].[Date (Month Index)]" caption="Date (Month Index)" attribute="1" defaultMemberUniqueName="[MobileSales].[Date (Month Index)].[All]" allUniqueName="[MobileSales].[Date (Month Index)].[All]" dimensionUniqueName="[MobileSales]" displayFolder="" count="0" memberValueDatatype="20" unbalanced="0" hidden="1"/>
    <cacheHierarchy uniqueName="[Measures].[__XL_Count MobileSales]" caption="__XL_Count MobileSales" measure="1" displayFolder="" measureGroup="MobileSales" count="0" hidden="1"/>
    <cacheHierarchy uniqueName="[Measures].[__No measures defined]" caption="__No measures defined" measure="1" displayFolder="" count="0" hidden="1"/>
    <cacheHierarchy uniqueName="[Measures].[Sum of Total_Revenue_INR]" caption="Sum of Total_Revenue_INR" measure="1" displayFolder="" measureGroup="MobileSales"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MobileSales" uniqueName="[MobileSales]" caption="MobileSales"/>
  </dimensions>
  <measureGroups count="1">
    <measureGroup name="MobileSales" caption="Mobile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6.908960763889" backgroundQuery="1" createdVersion="8" refreshedVersion="8" minRefreshableVersion="3" recordCount="0" supportSubquery="1" supportAdvancedDrill="1" xr:uid="{D37F9DE9-15E6-4CCC-A60F-985C63B87981}">
  <cacheSource type="external" connectionId="1"/>
  <cacheFields count="3">
    <cacheField name="[MobileSales].[Date].[Date]" caption="Date" numFmtId="0" level="1">
      <sharedItems containsSemiMixedTypes="0" containsNonDate="0" containsDate="1" containsString="0" minDate="2026-01-01T00:00:00" maxDate="2026-01-31T00:00:00" count="16">
        <d v="2026-01-01T00:00:00"/>
        <d v="2026-01-02T00:00:00"/>
        <d v="2026-01-04T00:00:00"/>
        <d v="2026-01-05T00:00:00"/>
        <d v="2026-01-07T00:00:00"/>
        <d v="2026-01-09T00:00:00"/>
        <d v="2026-01-11T00:00:00"/>
        <d v="2026-01-12T00:00:00"/>
        <d v="2026-01-15T00:00:00"/>
        <d v="2026-01-18T00:00:00"/>
        <d v="2026-01-20T00:00:00"/>
        <d v="2026-01-22T00:00:00"/>
        <d v="2026-01-24T00:00:00"/>
        <d v="2026-01-26T00:00:00"/>
        <d v="2026-01-28T00:00:00"/>
        <d v="2026-01-30T00:00:00"/>
      </sharedItems>
    </cacheField>
    <cacheField name="[MobileSales].[Date (Month)].[Date (Month)]" caption="Date (Month)" numFmtId="0" hierarchy="9" level="1">
      <sharedItems count="6">
        <s v="Jan"/>
        <s v="Feb"/>
        <s v="Mar"/>
        <s v="Apr"/>
        <s v="May"/>
        <s v="Jun"/>
      </sharedItems>
    </cacheField>
    <cacheField name="[Measures].[Sum of Total_Revenue_INR]" caption="Sum of Total_Revenue_INR" numFmtId="0" hierarchy="13" level="32767"/>
  </cacheFields>
  <cacheHierarchies count="14">
    <cacheHierarchy uniqueName="[MobileSales].[Date]" caption="Date" attribute="1" time="1" defaultMemberUniqueName="[MobileSales].[Date].[All]" allUniqueName="[MobileSales].[Date].[All]" dimensionUniqueName="[MobileSales]" displayFolder="" count="2" memberValueDatatype="7" unbalanced="0">
      <fieldsUsage count="2">
        <fieldUsage x="-1"/>
        <fieldUsage x="0"/>
      </fieldsUsage>
    </cacheHierarchy>
    <cacheHierarchy uniqueName="[MobileSales].[Order_ID]" caption="Order_ID" attribute="1" defaultMemberUniqueName="[MobileSales].[Order_ID].[All]" allUniqueName="[MobileSales].[Order_ID].[All]" dimensionUniqueName="[MobileSales]" displayFolder="" count="0" memberValueDatatype="130" unbalanced="0"/>
    <cacheHierarchy uniqueName="[MobileSales].[City]" caption="City" attribute="1" defaultMemberUniqueName="[MobileSales].[City].[All]" allUniqueName="[MobileSales].[City].[All]" dimensionUniqueName="[MobileSales]" displayFolder="" count="2" memberValueDatatype="130" unbalanced="0"/>
    <cacheHierarchy uniqueName="[MobileSales].[Brand]" caption="Brand" attribute="1" defaultMemberUniqueName="[MobileSales].[Brand].[All]" allUniqueName="[MobileSales].[Brand].[All]" dimensionUniqueName="[MobileSales]" displayFolder="" count="0" memberValueDatatype="130" unbalanced="0"/>
    <cacheHierarchy uniqueName="[MobileSales].[Model]" caption="Model" attribute="1" defaultMemberUniqueName="[MobileSales].[Model].[All]" allUniqueName="[MobileSales].[Model].[All]" dimensionUniqueName="[MobileSales]" displayFolder="" count="0" memberValueDatatype="130" unbalanced="0"/>
    <cacheHierarchy uniqueName="[MobileSales].[Category]" caption="Category" attribute="1" defaultMemberUniqueName="[MobileSales].[Category].[All]" allUniqueName="[MobileSales].[Category].[All]" dimensionUniqueName="[MobileSales]" displayFolder="" count="2" memberValueDatatype="130" unbalanced="0"/>
    <cacheHierarchy uniqueName="[MobileSales].[Unit_Price_INR]" caption="Unit_Price_INR" attribute="1" defaultMemberUniqueName="[MobileSales].[Unit_Price_INR].[All]" allUniqueName="[MobileSales].[Unit_Price_INR].[All]" dimensionUniqueName="[MobileSales]" displayFolder="" count="0" memberValueDatatype="20" unbalanced="0"/>
    <cacheHierarchy uniqueName="[MobileSales].[Units_Sold]" caption="Units_Sold" attribute="1" defaultMemberUniqueName="[MobileSales].[Units_Sold].[All]" allUniqueName="[MobileSales].[Units_Sold].[All]" dimensionUniqueName="[MobileSales]" displayFolder="" count="0" memberValueDatatype="20" unbalanced="0"/>
    <cacheHierarchy uniqueName="[MobileSales].[Total_Revenue_INR]" caption="Total_Revenue_INR" attribute="1" defaultMemberUniqueName="[MobileSales].[Total_Revenue_INR].[All]" allUniqueName="[MobileSales].[Total_Revenue_INR].[All]" dimensionUniqueName="[MobileSales]" displayFolder="" count="0" memberValueDatatype="20" unbalanced="0"/>
    <cacheHierarchy uniqueName="[MobileSales].[Date (Month)]" caption="Date (Month)" attribute="1" defaultMemberUniqueName="[MobileSales].[Date (Month)].[All]" allUniqueName="[MobileSales].[Date (Month)].[All]" dimensionUniqueName="[MobileSales]" displayFolder="" count="2" memberValueDatatype="130" unbalanced="0">
      <fieldsUsage count="2">
        <fieldUsage x="-1"/>
        <fieldUsage x="1"/>
      </fieldsUsage>
    </cacheHierarchy>
    <cacheHierarchy uniqueName="[MobileSales].[Date (Month Index)]" caption="Date (Month Index)" attribute="1" defaultMemberUniqueName="[MobileSales].[Date (Month Index)].[All]" allUniqueName="[MobileSales].[Date (Month Index)].[All]" dimensionUniqueName="[MobileSales]" displayFolder="" count="0" memberValueDatatype="20" unbalanced="0" hidden="1"/>
    <cacheHierarchy uniqueName="[Measures].[__XL_Count MobileSales]" caption="__XL_Count MobileSales" measure="1" displayFolder="" measureGroup="MobileSales" count="0" hidden="1"/>
    <cacheHierarchy uniqueName="[Measures].[__No measures defined]" caption="__No measures defined" measure="1" displayFolder="" count="0" hidden="1"/>
    <cacheHierarchy uniqueName="[Measures].[Sum of Total_Revenue_INR]" caption="Sum of Total_Revenue_INR" measure="1" displayFolder="" measureGroup="MobileSales"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MobileSales" uniqueName="[MobileSales]" caption="MobileSales"/>
  </dimensions>
  <measureGroups count="1">
    <measureGroup name="MobileSales" caption="Mobile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6.891026273152" backgroundQuery="1" createdVersion="3" refreshedVersion="8" minRefreshableVersion="3" recordCount="0" supportSubquery="1" supportAdvancedDrill="1" xr:uid="{527AFD0B-8DCB-4A2C-A7BD-C914F2503E87}">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MobileSales].[Date]" caption="Date" attribute="1" time="1" defaultMemberUniqueName="[MobileSales].[Date].[All]" allUniqueName="[MobileSales].[Date].[All]" dimensionUniqueName="[MobileSales]" displayFolder="" count="0" memberValueDatatype="7" unbalanced="0"/>
    <cacheHierarchy uniqueName="[MobileSales].[Order_ID]" caption="Order_ID" attribute="1" defaultMemberUniqueName="[MobileSales].[Order_ID].[All]" allUniqueName="[MobileSales].[Order_ID].[All]" dimensionUniqueName="[MobileSales]" displayFolder="" count="0" memberValueDatatype="130" unbalanced="0"/>
    <cacheHierarchy uniqueName="[MobileSales].[City]" caption="City" attribute="1" defaultMemberUniqueName="[MobileSales].[City].[All]" allUniqueName="[MobileSales].[City].[All]" dimensionUniqueName="[MobileSales]" displayFolder="" count="2" memberValueDatatype="130" unbalanced="0"/>
    <cacheHierarchy uniqueName="[MobileSales].[Brand]" caption="Brand" attribute="1" defaultMemberUniqueName="[MobileSales].[Brand].[All]" allUniqueName="[MobileSales].[Brand].[All]" dimensionUniqueName="[MobileSales]" displayFolder="" count="0" memberValueDatatype="130" unbalanced="0"/>
    <cacheHierarchy uniqueName="[MobileSales].[Model]" caption="Model" attribute="1" defaultMemberUniqueName="[MobileSales].[Model].[All]" allUniqueName="[MobileSales].[Model].[All]" dimensionUniqueName="[MobileSales]" displayFolder="" count="0" memberValueDatatype="130" unbalanced="0"/>
    <cacheHierarchy uniqueName="[MobileSales].[Category]" caption="Category" attribute="1" defaultMemberUniqueName="[MobileSales].[Category].[All]" allUniqueName="[MobileSales].[Category].[All]" dimensionUniqueName="[MobileSales]" displayFolder="" count="2" memberValueDatatype="130" unbalanced="0"/>
    <cacheHierarchy uniqueName="[MobileSales].[Unit_Price_INR]" caption="Unit_Price_INR" attribute="1" defaultMemberUniqueName="[MobileSales].[Unit_Price_INR].[All]" allUniqueName="[MobileSales].[Unit_Price_INR].[All]" dimensionUniqueName="[MobileSales]" displayFolder="" count="0" memberValueDatatype="20" unbalanced="0"/>
    <cacheHierarchy uniqueName="[MobileSales].[Units_Sold]" caption="Units_Sold" attribute="1" defaultMemberUniqueName="[MobileSales].[Units_Sold].[All]" allUniqueName="[MobileSales].[Units_Sold].[All]" dimensionUniqueName="[MobileSales]" displayFolder="" count="0" memberValueDatatype="20" unbalanced="0"/>
    <cacheHierarchy uniqueName="[MobileSales].[Total_Revenue_INR]" caption="Total_Revenue_INR" attribute="1" defaultMemberUniqueName="[MobileSales].[Total_Revenue_INR].[All]" allUniqueName="[MobileSales].[Total_Revenue_INR].[All]" dimensionUniqueName="[MobileSales]" displayFolder="" count="0" memberValueDatatype="20" unbalanced="0"/>
    <cacheHierarchy uniqueName="[MobileSales].[Date (Month)]" caption="Date (Month)" attribute="1" defaultMemberUniqueName="[MobileSales].[Date (Month)].[All]" allUniqueName="[MobileSales].[Date (Month)].[All]" dimensionUniqueName="[MobileSales]" displayFolder="" count="0" memberValueDatatype="130" unbalanced="0"/>
    <cacheHierarchy uniqueName="[MobileSales].[Date (Month Index)]" caption="Date (Month Index)" attribute="1" defaultMemberUniqueName="[MobileSales].[Date (Month Index)].[All]" allUniqueName="[MobileSales].[Date (Month Index)].[All]" dimensionUniqueName="[MobileSales]" displayFolder="" count="0" memberValueDatatype="20" unbalanced="0" hidden="1"/>
    <cacheHierarchy uniqueName="[Measures].[__XL_Count MobileSales]" caption="__XL_Count MobileSales" measure="1" displayFolder="" measureGroup="MobileSales" count="0" hidden="1"/>
    <cacheHierarchy uniqueName="[Measures].[__No measures defined]" caption="__No measures defined" measure="1" displayFolder="" count="0" hidden="1"/>
    <cacheHierarchy uniqueName="[Measures].[Sum of Total_Revenue_INR]" caption="Sum of Total_Revenue_INR" measure="1" displayFolder="" measureGroup="MobileSale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63828046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x v="0"/>
    <s v="IND-2001"/>
    <s v="Hyderabad"/>
    <x v="0"/>
    <s v="Redmi 12"/>
    <s v="Budget"/>
    <n v="9999"/>
    <n v="12"/>
    <n v="119988"/>
  </r>
  <r>
    <x v="1"/>
    <s v="IND-2002"/>
    <s v="Mumbai"/>
    <x v="1"/>
    <s v="Galaxy A54"/>
    <s v="Mid-Range"/>
    <n v="29999"/>
    <n v="5"/>
    <n v="149995"/>
  </r>
  <r>
    <x v="2"/>
    <s v="IND-2003"/>
    <s v="Bangalore"/>
    <x v="2"/>
    <s v="iPhone 15 Pro"/>
    <s v="Flagship"/>
    <n v="134999"/>
    <n v="2"/>
    <n v="269998"/>
  </r>
  <r>
    <x v="3"/>
    <s v="IND-2004"/>
    <s v="Delhi"/>
    <x v="3"/>
    <s v="V29"/>
    <s v="Mid-Range"/>
    <n v="25999"/>
    <n v="8"/>
    <n v="207992"/>
  </r>
  <r>
    <x v="4"/>
    <s v="IND-2005"/>
    <s v="Chennai"/>
    <x v="4"/>
    <s v="Nord CE 3"/>
    <s v="Mid-Range"/>
    <n v="24999"/>
    <n v="10"/>
    <n v="249990"/>
  </r>
  <r>
    <x v="5"/>
    <s v="IND-2006"/>
    <s v="Hyderabad"/>
    <x v="1"/>
    <s v="Galaxy M14"/>
    <s v="Budget"/>
    <n v="12999"/>
    <n v="15"/>
    <n v="194985"/>
  </r>
  <r>
    <x v="6"/>
    <s v="IND-2007"/>
    <s v="Mumbai"/>
    <x v="2"/>
    <s v="iPhone 13"/>
    <s v="Premium"/>
    <n v="52999"/>
    <n v="4"/>
    <n v="211996"/>
  </r>
  <r>
    <x v="7"/>
    <s v="IND-2008"/>
    <s v="Bangalore"/>
    <x v="0"/>
    <s v="Redmi Note 13"/>
    <s v="Mid-Range"/>
    <n v="19999"/>
    <n v="14"/>
    <n v="279986"/>
  </r>
  <r>
    <x v="8"/>
    <s v="IND-2009"/>
    <s v="Delhi"/>
    <x v="4"/>
    <s v="OnePlus 12"/>
    <s v="Premium"/>
    <n v="64999"/>
    <n v="3"/>
    <n v="194997"/>
  </r>
  <r>
    <x v="9"/>
    <s v="IND-2010"/>
    <s v="Chennai"/>
    <x v="1"/>
    <s v="Galaxy S24 Ultra"/>
    <s v="Flagship"/>
    <n v="129999"/>
    <n v="2"/>
    <n v="259998"/>
  </r>
  <r>
    <x v="10"/>
    <s v="IND-2011"/>
    <s v="Hyderabad"/>
    <x v="3"/>
    <s v="V29"/>
    <s v="Mid-Range"/>
    <n v="25999"/>
    <n v="7"/>
    <n v="181993"/>
  </r>
  <r>
    <x v="11"/>
    <s v="IND-2012"/>
    <s v="Mumbai"/>
    <x v="0"/>
    <s v="Redmi 12"/>
    <s v="Budget"/>
    <n v="9999"/>
    <n v="20"/>
    <n v="199980"/>
  </r>
  <r>
    <x v="12"/>
    <s v="IND-2013"/>
    <s v="Bangalore"/>
    <x v="2"/>
    <s v="iPhone 15 Pro"/>
    <s v="Flagship"/>
    <n v="134999"/>
    <n v="1"/>
    <n v="134999"/>
  </r>
  <r>
    <x v="13"/>
    <s v="IND-2014"/>
    <s v="Delhi"/>
    <x v="1"/>
    <s v="Galaxy A54"/>
    <s v="Mid-Range"/>
    <n v="29999"/>
    <n v="6"/>
    <n v="179994"/>
  </r>
  <r>
    <x v="14"/>
    <s v="IND-2015"/>
    <s v="Chennai"/>
    <x v="4"/>
    <s v="Nord CE 3"/>
    <s v="Mid-Range"/>
    <n v="24999"/>
    <n v="9"/>
    <n v="224991"/>
  </r>
  <r>
    <x v="15"/>
    <s v="IND-2016"/>
    <s v="Hyderabad"/>
    <x v="2"/>
    <s v="iPhone 13"/>
    <s v="Premium"/>
    <n v="52999"/>
    <n v="5"/>
    <n v="264995"/>
  </r>
  <r>
    <x v="16"/>
    <s v="IND-2017"/>
    <s v="Mumbai"/>
    <x v="1"/>
    <s v="Galaxy M14"/>
    <s v="Budget"/>
    <n v="12999"/>
    <n v="18"/>
    <n v="233982"/>
  </r>
  <r>
    <x v="17"/>
    <s v="IND-2018"/>
    <s v="Bangalore"/>
    <x v="0"/>
    <s v="Redmi Note 13"/>
    <s v="Mid-Range"/>
    <n v="19999"/>
    <n v="11"/>
    <n v="219989"/>
  </r>
  <r>
    <x v="18"/>
    <s v="IND-2019"/>
    <s v="Delhi"/>
    <x v="3"/>
    <s v="V29"/>
    <s v="Mid-Range"/>
    <n v="25999"/>
    <n v="6"/>
    <n v="155994"/>
  </r>
  <r>
    <x v="19"/>
    <s v="IND-2020"/>
    <s v="Chennai"/>
    <x v="1"/>
    <s v="Galaxy S24 Ultra"/>
    <s v="Flagship"/>
    <n v="129999"/>
    <n v="3"/>
    <n v="389997"/>
  </r>
  <r>
    <x v="20"/>
    <s v="IND-2021"/>
    <s v="Hyderabad"/>
    <x v="4"/>
    <s v="OnePlus 12"/>
    <s v="Premium"/>
    <n v="64999"/>
    <n v="4"/>
    <n v="259996"/>
  </r>
  <r>
    <x v="21"/>
    <s v="IND-2022"/>
    <s v="Mumbai"/>
    <x v="0"/>
    <s v="Redmi 12"/>
    <s v="Budget"/>
    <n v="9999"/>
    <n v="25"/>
    <n v="249975"/>
  </r>
  <r>
    <x v="22"/>
    <s v="IND-2023"/>
    <s v="Bangalore"/>
    <x v="2"/>
    <s v="iPhone 13"/>
    <s v="Premium"/>
    <n v="52999"/>
    <n v="8"/>
    <n v="423992"/>
  </r>
  <r>
    <x v="23"/>
    <s v="IND-2024"/>
    <s v="Delhi"/>
    <x v="4"/>
    <s v="Nord CE 3"/>
    <s v="Mid-Range"/>
    <n v="24999"/>
    <n v="12"/>
    <n v="299988"/>
  </r>
  <r>
    <x v="24"/>
    <s v="IND-2025"/>
    <s v="Chennai"/>
    <x v="1"/>
    <s v="Galaxy A54"/>
    <s v="Mid-Range"/>
    <n v="29999"/>
    <n v="7"/>
    <n v="209993"/>
  </r>
  <r>
    <x v="25"/>
    <s v="IND-2026"/>
    <s v="Hyderabad"/>
    <x v="2"/>
    <s v="iPhone 15 Pro"/>
    <s v="Flagship"/>
    <n v="134999"/>
    <n v="2"/>
    <n v="269998"/>
  </r>
  <r>
    <x v="26"/>
    <s v="IND-2027"/>
    <s v="Mumbai"/>
    <x v="1"/>
    <s v="Galaxy M14"/>
    <s v="Budget"/>
    <n v="12999"/>
    <n v="22"/>
    <n v="285978"/>
  </r>
  <r>
    <x v="27"/>
    <s v="IND-2028"/>
    <s v="Bangalore"/>
    <x v="3"/>
    <s v="V29"/>
    <s v="Mid-Range"/>
    <n v="25999"/>
    <n v="9"/>
    <n v="233991"/>
  </r>
  <r>
    <x v="28"/>
    <s v="IND-2029"/>
    <s v="Delhi"/>
    <x v="0"/>
    <s v="Redmi Note 13"/>
    <s v="Mid-Range"/>
    <n v="19999"/>
    <n v="15"/>
    <n v="299985"/>
  </r>
  <r>
    <x v="29"/>
    <s v="IND-2030"/>
    <s v="Chennai"/>
    <x v="4"/>
    <s v="OnePlus 12"/>
    <s v="Premium"/>
    <n v="64999"/>
    <n v="5"/>
    <n v="324995"/>
  </r>
  <r>
    <x v="30"/>
    <s v="IND-2031"/>
    <s v="Hyderabad"/>
    <x v="0"/>
    <s v="Redmi 12"/>
    <s v="Budget"/>
    <n v="9999"/>
    <n v="30"/>
    <n v="299970"/>
  </r>
  <r>
    <x v="31"/>
    <s v="IND-2032"/>
    <s v="Mumbai"/>
    <x v="2"/>
    <s v="iPhone 13"/>
    <s v="Premium"/>
    <n v="52999"/>
    <n v="6"/>
    <n v="317994"/>
  </r>
  <r>
    <x v="32"/>
    <s v="IND-2033"/>
    <s v="Bangalore"/>
    <x v="1"/>
    <s v="Galaxy S24 Ultra"/>
    <s v="Flagship"/>
    <n v="129999"/>
    <n v="4"/>
    <n v="519996"/>
  </r>
  <r>
    <x v="33"/>
    <s v="IND-2034"/>
    <s v="Delhi"/>
    <x v="4"/>
    <s v="Nord CE 3"/>
    <s v="Mid-Range"/>
    <n v="24999"/>
    <n v="14"/>
    <n v="349986"/>
  </r>
  <r>
    <x v="34"/>
    <s v="IND-2035"/>
    <s v="Chennai"/>
    <x v="1"/>
    <s v="Galaxy M14"/>
    <s v="Budget"/>
    <n v="12999"/>
    <n v="19"/>
    <n v="246981"/>
  </r>
  <r>
    <x v="35"/>
    <s v="IND-2036"/>
    <s v="Hyderabad"/>
    <x v="3"/>
    <s v="V29"/>
    <s v="Mid-Range"/>
    <n v="25999"/>
    <n v="8"/>
    <n v="207992"/>
  </r>
  <r>
    <x v="36"/>
    <s v="IND-2037"/>
    <s v="Mumbai"/>
    <x v="0"/>
    <s v="Redmi Note 13"/>
    <s v="Mid-Range"/>
    <n v="19999"/>
    <n v="12"/>
    <n v="239988"/>
  </r>
  <r>
    <x v="37"/>
    <s v="IND-2038"/>
    <s v="Bangalore"/>
    <x v="2"/>
    <s v="iPhone 15 Pro"/>
    <s v="Flagship"/>
    <n v="134999"/>
    <n v="3"/>
    <n v="404997"/>
  </r>
  <r>
    <x v="38"/>
    <s v="IND-2039"/>
    <s v="Delhi"/>
    <x v="1"/>
    <s v="Galaxy A54"/>
    <s v="Mid-Range"/>
    <n v="29999"/>
    <n v="9"/>
    <n v="269991"/>
  </r>
  <r>
    <x v="39"/>
    <s v="IND-2040"/>
    <s v="Chennai"/>
    <x v="0"/>
    <s v="Redmi 12"/>
    <s v="Budget"/>
    <n v="9999"/>
    <n v="18"/>
    <n v="179982"/>
  </r>
  <r>
    <x v="40"/>
    <s v="IND-2041"/>
    <s v="Hyderabad"/>
    <x v="4"/>
    <s v="OnePlus 12"/>
    <s v="Premium"/>
    <n v="64999"/>
    <n v="4"/>
    <n v="259996"/>
  </r>
  <r>
    <x v="41"/>
    <s v="IND-2042"/>
    <s v="Mumbai"/>
    <x v="3"/>
    <s v="V29"/>
    <s v="Mid-Range"/>
    <n v="25999"/>
    <n v="10"/>
    <n v="259990"/>
  </r>
  <r>
    <x v="42"/>
    <s v="IND-2043"/>
    <s v="Bangalore"/>
    <x v="1"/>
    <s v="Galaxy M14"/>
    <s v="Budget"/>
    <n v="12999"/>
    <n v="25"/>
    <n v="324975"/>
  </r>
  <r>
    <x v="43"/>
    <s v="IND-2044"/>
    <s v="Delhi"/>
    <x v="2"/>
    <s v="iPhone 13"/>
    <s v="Premium"/>
    <n v="52999"/>
    <n v="7"/>
    <n v="370993"/>
  </r>
  <r>
    <x v="44"/>
    <s v="IND-2045"/>
    <s v="Chennai"/>
    <x v="4"/>
    <s v="Nord CE 3"/>
    <s v="Mid-Range"/>
    <n v="24999"/>
    <n v="15"/>
    <n v="374985"/>
  </r>
  <r>
    <x v="45"/>
    <s v="IND-2046"/>
    <s v="Hyderabad"/>
    <x v="1"/>
    <s v="Galaxy S24 Ultra"/>
    <s v="Flagship"/>
    <n v="129999"/>
    <n v="2"/>
    <n v="259998"/>
  </r>
  <r>
    <x v="46"/>
    <s v="IND-2047"/>
    <s v="Mumbai"/>
    <x v="0"/>
    <s v="Redmi Note 13"/>
    <s v="Mid-Range"/>
    <n v="19999"/>
    <n v="16"/>
    <n v="319984"/>
  </r>
  <r>
    <x v="47"/>
    <s v="IND-2048"/>
    <s v="Bangalore"/>
    <x v="0"/>
    <s v="Redmi 12"/>
    <s v="Budget"/>
    <n v="9999"/>
    <n v="22"/>
    <n v="219978"/>
  </r>
  <r>
    <x v="48"/>
    <s v="IND-2049"/>
    <s v="Delhi"/>
    <x v="2"/>
    <s v="iPhone 15 Pro"/>
    <s v="Flagship"/>
    <n v="134999"/>
    <n v="1"/>
    <n v="134999"/>
  </r>
  <r>
    <x v="49"/>
    <s v="IND-2050"/>
    <s v="Chennai"/>
    <x v="1"/>
    <s v="Galaxy A54"/>
    <s v="Mid-Range"/>
    <n v="29999"/>
    <n v="8"/>
    <n v="239992"/>
  </r>
  <r>
    <x v="50"/>
    <s v="IND-2051"/>
    <s v="Hyderabad"/>
    <x v="3"/>
    <s v="V29"/>
    <s v="Mid-Range"/>
    <n v="25999"/>
    <n v="11"/>
    <n v="285989"/>
  </r>
  <r>
    <x v="51"/>
    <s v="IND-2052"/>
    <s v="Mumbai"/>
    <x v="4"/>
    <s v="OnePlus 12"/>
    <s v="Premium"/>
    <n v="64999"/>
    <n v="5"/>
    <n v="324995"/>
  </r>
  <r>
    <x v="52"/>
    <s v="IND-2053"/>
    <s v="Bangalore"/>
    <x v="1"/>
    <s v="Galaxy M14"/>
    <s v="Budget"/>
    <n v="12999"/>
    <n v="20"/>
    <n v="259980"/>
  </r>
  <r>
    <x v="53"/>
    <s v="IND-2054"/>
    <s v="Delhi"/>
    <x v="2"/>
    <s v="iPhone 13"/>
    <s v="Premium"/>
    <n v="52999"/>
    <n v="6"/>
    <n v="317994"/>
  </r>
  <r>
    <x v="54"/>
    <s v="IND-2055"/>
    <s v="Chennai"/>
    <x v="0"/>
    <s v="Redmi Note 13"/>
    <s v="Mid-Range"/>
    <n v="19999"/>
    <n v="13"/>
    <n v="259987"/>
  </r>
  <r>
    <x v="55"/>
    <s v="IND-2056"/>
    <s v="Hyderabad"/>
    <x v="4"/>
    <s v="Nord CE 3"/>
    <s v="Mid-Range"/>
    <n v="24999"/>
    <n v="16"/>
    <n v="399984"/>
  </r>
  <r>
    <x v="56"/>
    <s v="IND-2057"/>
    <s v="Mumbai"/>
    <x v="1"/>
    <s v="Galaxy S24 Ultra"/>
    <s v="Flagship"/>
    <n v="129999"/>
    <n v="3"/>
    <n v="389997"/>
  </r>
  <r>
    <x v="57"/>
    <s v="IND-2058"/>
    <s v="Bangalore"/>
    <x v="0"/>
    <s v="Redmi 12"/>
    <s v="Budget"/>
    <n v="9999"/>
    <n v="28"/>
    <n v="279972"/>
  </r>
  <r>
    <x v="58"/>
    <s v="IND-2059"/>
    <s v="Delhi"/>
    <x v="3"/>
    <s v="V29"/>
    <s v="Mid-Range"/>
    <n v="25999"/>
    <n v="9"/>
    <n v="233991"/>
  </r>
  <r>
    <x v="59"/>
    <s v="IND-2060"/>
    <s v="Chennai"/>
    <x v="2"/>
    <s v="iPhone 15 Pro"/>
    <s v="Flagship"/>
    <n v="134999"/>
    <n v="2"/>
    <n v="269998"/>
  </r>
  <r>
    <x v="60"/>
    <s v="IND-2061"/>
    <s v="Hyderabad"/>
    <x v="1"/>
    <s v="Galaxy A54"/>
    <s v="Mid-Range"/>
    <n v="29999"/>
    <n v="7"/>
    <n v="209993"/>
  </r>
  <r>
    <x v="61"/>
    <s v="IND-2062"/>
    <s v="Mumbai"/>
    <x v="4"/>
    <s v="OnePlus 12"/>
    <s v="Premium"/>
    <n v="64999"/>
    <n v="6"/>
    <n v="389994"/>
  </r>
  <r>
    <x v="62"/>
    <s v="IND-2063"/>
    <s v="Bangalore"/>
    <x v="1"/>
    <s v="Galaxy M14"/>
    <s v="Budget"/>
    <n v="12999"/>
    <n v="24"/>
    <n v="311976"/>
  </r>
  <r>
    <x v="63"/>
    <s v="IND-2064"/>
    <s v="Delhi"/>
    <x v="0"/>
    <s v="Redmi Note 13"/>
    <s v="Mid-Range"/>
    <n v="19999"/>
    <n v="18"/>
    <n v="359982"/>
  </r>
  <r>
    <x v="64"/>
    <s v="IND-2065"/>
    <s v="Chennai"/>
    <x v="2"/>
    <s v="iPhone 13"/>
    <s v="Premium"/>
    <n v="52999"/>
    <n v="5"/>
    <n v="264995"/>
  </r>
  <r>
    <x v="65"/>
    <s v="IND-2066"/>
    <s v="Hyderabad"/>
    <x v="4"/>
    <s v="Nord CE 3"/>
    <s v="Mid-Range"/>
    <n v="24999"/>
    <n v="14"/>
    <n v="349986"/>
  </r>
  <r>
    <x v="66"/>
    <s v="IND-2067"/>
    <s v="Mumbai"/>
    <x v="0"/>
    <s v="Redmi 12"/>
    <s v="Budget"/>
    <n v="9999"/>
    <n v="26"/>
    <n v="259974"/>
  </r>
  <r>
    <x v="67"/>
    <s v="IND-2068"/>
    <s v="Bangalore"/>
    <x v="3"/>
    <s v="V29"/>
    <s v="Mid-Range"/>
    <n v="25999"/>
    <n v="10"/>
    <n v="259990"/>
  </r>
  <r>
    <x v="68"/>
    <s v="IND-2069"/>
    <s v="Delhi"/>
    <x v="1"/>
    <s v="Galaxy S24 Ultra"/>
    <s v="Flagship"/>
    <n v="129999"/>
    <n v="4"/>
    <n v="519996"/>
  </r>
  <r>
    <x v="69"/>
    <s v="IND-2070"/>
    <s v="Chennai"/>
    <x v="1"/>
    <s v="Galaxy A54"/>
    <s v="Mid-Range"/>
    <n v="29999"/>
    <n v="11"/>
    <n v="329989"/>
  </r>
  <r>
    <x v="70"/>
    <s v="IND-2071"/>
    <s v="Hyderabad"/>
    <x v="2"/>
    <s v="iPhone 15 Pro"/>
    <s v="Flagship"/>
    <n v="134999"/>
    <n v="3"/>
    <n v="404997"/>
  </r>
  <r>
    <x v="71"/>
    <s v="IND-2072"/>
    <s v="Mumbai"/>
    <x v="4"/>
    <s v="OnePlus 12"/>
    <s v="Premium"/>
    <n v="64999"/>
    <n v="4"/>
    <n v="259996"/>
  </r>
  <r>
    <x v="72"/>
    <s v="IND-2073"/>
    <s v="Bangalore"/>
    <x v="0"/>
    <s v="Redmi Note 13"/>
    <s v="Mid-Range"/>
    <n v="19999"/>
    <n v="15"/>
    <n v="299985"/>
  </r>
  <r>
    <x v="73"/>
    <s v="IND-2074"/>
    <s v="Delhi"/>
    <x v="1"/>
    <s v="Galaxy M14"/>
    <s v="Budget"/>
    <n v="12999"/>
    <n v="21"/>
    <n v="272979"/>
  </r>
  <r>
    <x v="74"/>
    <s v="IND-2075"/>
    <s v="Chennai"/>
    <x v="2"/>
    <s v="iPhone 13"/>
    <s v="Premium"/>
    <n v="52999"/>
    <n v="7"/>
    <n v="370993"/>
  </r>
  <r>
    <x v="75"/>
    <s v="IND-2076"/>
    <s v="Hyderabad"/>
    <x v="3"/>
    <s v="V29"/>
    <s v="Mid-Range"/>
    <n v="25999"/>
    <n v="8"/>
    <n v="207992"/>
  </r>
  <r>
    <x v="76"/>
    <s v="IND-2077"/>
    <s v="Mumbai"/>
    <x v="4"/>
    <s v="Nord CE 3"/>
    <s v="Mid-Range"/>
    <n v="24999"/>
    <n v="17"/>
    <n v="424983"/>
  </r>
  <r>
    <x v="77"/>
    <s v="IND-2078"/>
    <s v="Bangalore"/>
    <x v="0"/>
    <s v="Redmi 12"/>
    <s v="Budget"/>
    <n v="9999"/>
    <n v="32"/>
    <n v="319968"/>
  </r>
  <r>
    <x v="78"/>
    <s v="IND-2079"/>
    <s v="Delhi"/>
    <x v="1"/>
    <s v="Galaxy A54"/>
    <s v="Mid-Range"/>
    <n v="29999"/>
    <n v="10"/>
    <n v="299990"/>
  </r>
  <r>
    <x v="79"/>
    <s v="IND-2080"/>
    <s v="Chennai"/>
    <x v="1"/>
    <s v="Galaxy S24 Ultra"/>
    <s v="Flagship"/>
    <n v="129999"/>
    <n v="2"/>
    <n v="259998"/>
  </r>
  <r>
    <x v="80"/>
    <s v="IND-2081"/>
    <s v="Hyderabad"/>
    <x v="2"/>
    <s v="iPhone 15 Pro"/>
    <s v="Flagship"/>
    <n v="134999"/>
    <n v="1"/>
    <n v="134999"/>
  </r>
  <r>
    <x v="81"/>
    <s v="IND-2082"/>
    <s v="Mumbai"/>
    <x v="0"/>
    <s v="Redmi Note 13"/>
    <s v="Mid-Range"/>
    <n v="19999"/>
    <n v="20"/>
    <n v="399980"/>
  </r>
  <r>
    <x v="82"/>
    <s v="IND-2083"/>
    <s v="Bangalore"/>
    <x v="4"/>
    <s v="OnePlus 12"/>
    <s v="Premium"/>
    <n v="64999"/>
    <n v="5"/>
    <n v="324995"/>
  </r>
  <r>
    <x v="83"/>
    <s v="IND-2084"/>
    <s v="Delhi"/>
    <x v="3"/>
    <s v="V29"/>
    <s v="Mid-Range"/>
    <n v="25999"/>
    <n v="12"/>
    <n v="311988"/>
  </r>
  <r>
    <x v="84"/>
    <s v="IND-2085"/>
    <s v="Chennai"/>
    <x v="1"/>
    <s v="Galaxy M14"/>
    <s v="Budget"/>
    <n v="12999"/>
    <n v="23"/>
    <n v="298977"/>
  </r>
  <r>
    <x v="85"/>
    <s v="IND-2086"/>
    <s v="Hyderabad"/>
    <x v="2"/>
    <s v="iPhone 13"/>
    <s v="Premium"/>
    <n v="52999"/>
    <n v="9"/>
    <n v="476991"/>
  </r>
  <r>
    <x v="86"/>
    <s v="IND-2087"/>
    <s v="Mumbai"/>
    <x v="4"/>
    <s v="Nord CE 3"/>
    <s v="Mid-Range"/>
    <n v="24999"/>
    <n v="15"/>
    <n v="374985"/>
  </r>
  <r>
    <x v="87"/>
    <s v="IND-2088"/>
    <s v="Bangalore"/>
    <x v="1"/>
    <s v="Galaxy A54"/>
    <s v="Mid-Range"/>
    <n v="29999"/>
    <n v="8"/>
    <n v="239992"/>
  </r>
  <r>
    <x v="87"/>
    <s v="IND-2089"/>
    <s v="Delhi"/>
    <x v="0"/>
    <s v="Redmi 12"/>
    <s v="Budget"/>
    <n v="9999"/>
    <n v="25"/>
    <n v="249975"/>
  </r>
  <r>
    <x v="88"/>
    <s v="IND-2090"/>
    <s v="Chennai"/>
    <x v="2"/>
    <s v="iPhone 15 Pro"/>
    <s v="Flagship"/>
    <n v="134999"/>
    <n v="4"/>
    <n v="539996"/>
  </r>
  <r>
    <x v="88"/>
    <s v="IND-2091"/>
    <s v="Hyderabad"/>
    <x v="1"/>
    <s v="Galaxy S24 Ultra"/>
    <s v="Flagship"/>
    <n v="129999"/>
    <n v="3"/>
    <n v="389997"/>
  </r>
  <r>
    <x v="89"/>
    <s v="IND-2092"/>
    <s v="Mumbai"/>
    <x v="3"/>
    <s v="V29"/>
    <s v="Mid-Range"/>
    <n v="25999"/>
    <n v="10"/>
    <n v="259990"/>
  </r>
  <r>
    <x v="89"/>
    <s v="IND-2093"/>
    <s v="Bangalore"/>
    <x v="0"/>
    <s v="Redmi Note 13"/>
    <s v="Mid-Range"/>
    <n v="19999"/>
    <n v="18"/>
    <n v="359982"/>
  </r>
  <r>
    <x v="90"/>
    <s v="IND-2094"/>
    <s v="Delhi"/>
    <x v="4"/>
    <s v="OnePlus 12"/>
    <s v="Premium"/>
    <n v="64999"/>
    <n v="7"/>
    <n v="454993"/>
  </r>
  <r>
    <x v="90"/>
    <s v="IND-2095"/>
    <s v="Chennai"/>
    <x v="1"/>
    <s v="Galaxy M14"/>
    <s v="Budget"/>
    <n v="12999"/>
    <n v="27"/>
    <n v="350973"/>
  </r>
  <r>
    <x v="91"/>
    <s v="IND-2096"/>
    <s v="Hyderabad"/>
    <x v="4"/>
    <s v="Nord CE 3"/>
    <s v="Mid-Range"/>
    <n v="24999"/>
    <n v="19"/>
    <n v="474981"/>
  </r>
  <r>
    <x v="91"/>
    <s v="IND-2097"/>
    <s v="Mumbai"/>
    <x v="2"/>
    <s v="iPhone 13"/>
    <s v="Premium"/>
    <n v="52999"/>
    <n v="8"/>
    <n v="423992"/>
  </r>
  <r>
    <x v="91"/>
    <s v="IND-2098"/>
    <s v="Bangalore"/>
    <x v="1"/>
    <s v="Galaxy A54"/>
    <s v="Mid-Range"/>
    <n v="29999"/>
    <n v="12"/>
    <n v="359988"/>
  </r>
  <r>
    <x v="92"/>
    <s v="IND-2099"/>
    <s v="Delhi"/>
    <x v="0"/>
    <s v="Redmi 12"/>
    <s v="Budget"/>
    <n v="9999"/>
    <n v="35"/>
    <n v="349965"/>
  </r>
  <r>
    <x v="92"/>
    <s v="IND-2100"/>
    <s v="Chennai"/>
    <x v="3"/>
    <s v="V29"/>
    <s v="Mid-Range"/>
    <n v="25999"/>
    <n v="14"/>
    <n v="363986"/>
  </r>
  <r>
    <x v="92"/>
    <s v="IND-2101"/>
    <s v="Hyderabad"/>
    <x v="2"/>
    <s v="iPhone 15 Pro"/>
    <s v="Flagship"/>
    <n v="134999"/>
    <n v="5"/>
    <n v="674995"/>
  </r>
  <r>
    <x v="92"/>
    <s v="IND-2102"/>
    <s v="Mumbai"/>
    <x v="1"/>
    <s v="Galaxy S24 Ultra"/>
    <s v="Flagship"/>
    <n v="129999"/>
    <n v="4"/>
    <n v="519996"/>
  </r>
  <r>
    <x v="92"/>
    <s v="IND-2103"/>
    <s v="Bangalore"/>
    <x v="4"/>
    <s v="OnePlus 12"/>
    <s v="Premium"/>
    <n v="64999"/>
    <n v="6"/>
    <n v="389994"/>
  </r>
  <r>
    <x v="92"/>
    <s v="IND-2104"/>
    <s v="Delhi"/>
    <x v="0"/>
    <s v="Redmi Note 13"/>
    <s v="Mid-Range"/>
    <n v="19999"/>
    <n v="22"/>
    <n v="439978"/>
  </r>
  <r>
    <x v="92"/>
    <s v="IND-2105"/>
    <s v="Chennai"/>
    <x v="1"/>
    <s v="Galaxy M14"/>
    <s v="Budget"/>
    <n v="12999"/>
    <n v="30"/>
    <n v="389970"/>
  </r>
  <r>
    <x v="92"/>
    <s v="IND-2106"/>
    <s v="Hyderabad"/>
    <x v="4"/>
    <s v="Nord CE 3"/>
    <s v="Mid-Range"/>
    <n v="24999"/>
    <n v="20"/>
    <n v="499980"/>
  </r>
  <r>
    <x v="92"/>
    <s v="IND-2107"/>
    <s v="Mumbai"/>
    <x v="2"/>
    <s v="iPhone 13"/>
    <s v="Premium"/>
    <n v="52999"/>
    <n v="10"/>
    <n v="529990"/>
  </r>
  <r>
    <x v="92"/>
    <s v="IND-2108"/>
    <s v="Bangalore"/>
    <x v="3"/>
    <s v="V29"/>
    <s v="Mid-Range"/>
    <n v="25999"/>
    <n v="15"/>
    <n v="389985"/>
  </r>
  <r>
    <x v="92"/>
    <s v="IND-2109"/>
    <s v="Delhi"/>
    <x v="1"/>
    <s v="Galaxy A54"/>
    <s v="Mid-Range"/>
    <n v="29999"/>
    <n v="14"/>
    <n v="419986"/>
  </r>
  <r>
    <x v="92"/>
    <s v="IND-2110"/>
    <s v="Chennai"/>
    <x v="0"/>
    <s v="Redmi 12"/>
    <s v="Budget"/>
    <n v="9999"/>
    <n v="40"/>
    <n v="3999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3B4372-D511-4B4B-8733-5B8CF84171B3}" name="PivotTable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B10" firstHeaderRow="1" firstDataRow="1" firstDataCol="1"/>
  <pivotFields count="3">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Row" allDrilled="1" subtotalTop="0" showAll="0" dataSourceSort="1" defaultSubtotal="0">
      <items count="6">
        <item x="0" e="0"/>
        <item x="1" e="0"/>
        <item x="2" e="0"/>
        <item x="3" e="0"/>
        <item x="4" e="0"/>
        <item x="5" e="0"/>
      </items>
    </pivotField>
    <pivotField dataField="1" subtotalTop="0" showAll="0" defaultSubtotal="0"/>
  </pivotFields>
  <rowFields count="2">
    <field x="1"/>
    <field x="0"/>
  </rowFields>
  <rowItems count="7">
    <i>
      <x/>
    </i>
    <i>
      <x v="1"/>
    </i>
    <i>
      <x v="2"/>
    </i>
    <i>
      <x v="3"/>
    </i>
    <i>
      <x v="4"/>
    </i>
    <i>
      <x v="5"/>
    </i>
    <i t="grand">
      <x/>
    </i>
  </rowItems>
  <colItems count="1">
    <i/>
  </colItems>
  <dataFields count="1">
    <dataField name="Sum of Total_Revenue_INR" fld="2" baseField="0" baseItem="0"/>
  </dataFields>
  <formats count="6">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9"/>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obileSales">
        <x15:activeTabTopLevelEntity name="[Mobil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A49562-5348-48C7-A5B0-AC68E0F6BD2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J9" firstHeaderRow="1" firstDataRow="1" firstDataCol="1"/>
  <pivotFields count="11">
    <pivotField numFmtId="14"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showAll="0"/>
    <pivotField axis="axisRow" showAll="0">
      <items count="6">
        <item x="2"/>
        <item x="4"/>
        <item x="1"/>
        <item x="3"/>
        <item x="0"/>
        <item t="default"/>
      </items>
    </pivotField>
    <pivotField showAll="0"/>
    <pivotField showAll="0"/>
    <pivotField numFmtId="164"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Sum of Total_Revenue_INR" fld="8" baseField="0" baseItem="0"/>
  </dataFields>
  <formats count="6">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71BC36-D3FA-41BD-B865-1BE2A24D9FD6}" name="PivotTable6"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E3:F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_Revenue_INR" fld="1" baseField="0" baseItem="0"/>
  </dataFields>
  <formats count="6">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3"/>
          </reference>
        </references>
      </pivotArea>
    </chartFormat>
    <chartFormat chart="4" format="12">
      <pivotArea type="data" outline="0" fieldPosition="0">
        <references count="2">
          <reference field="4294967294" count="1" selected="0">
            <x v="0"/>
          </reference>
          <reference field="0" count="1" selected="0">
            <x v="4"/>
          </reference>
        </references>
      </pivotArea>
    </chartFormat>
  </chartFormats>
  <pivotHierarchies count="1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MobileSales">
        <x15:activeTabTopLevelEntity name="[Mobil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8258A5E-BCD1-4070-8AFC-C5245814F4D6}" sourceName="[MobileSales].[Category]">
  <pivotTables>
    <pivotTable tabId="4" name="PivotTable5"/>
    <pivotTable tabId="4" name="PivotTable6"/>
  </pivotTables>
  <data>
    <olap pivotCacheId="638280460">
      <levels count="2">
        <level uniqueName="[MobileSales].[Category].[(All)]" sourceCaption="(All)" count="0"/>
        <level uniqueName="[MobileSales].[Category].[Category]" sourceCaption="Category" count="4">
          <ranges>
            <range startItem="0">
              <i n="[MobileSales].[Category].&amp;[Budget]" c="Budget"/>
              <i n="[MobileSales].[Category].&amp;[Flagship]" c="Flagship"/>
              <i n="[MobileSales].[Category].&amp;[Mid-Range]" c="Mid-Range"/>
              <i n="[MobileSales].[Category].&amp;[Premium]" c="Premium"/>
            </range>
          </ranges>
        </level>
      </levels>
      <selections count="1">
        <selection n="[MobileSale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8D0165B-BB1D-49E6-8014-F22F4629C252}" sourceName="[MobileSales].[City]">
  <pivotTables>
    <pivotTable tabId="4" name="PivotTable5"/>
    <pivotTable tabId="4" name="PivotTable6"/>
  </pivotTables>
  <data>
    <olap pivotCacheId="638280460">
      <levels count="2">
        <level uniqueName="[MobileSales].[City].[(All)]" sourceCaption="(All)" count="0"/>
        <level uniqueName="[MobileSales].[City].[City]" sourceCaption="City" count="5">
          <ranges>
            <range startItem="0">
              <i n="[MobileSales].[City].&amp;[Bangalore]" c="Bangalore"/>
              <i n="[MobileSales].[City].&amp;[Chennai]" c="Chennai"/>
              <i n="[MobileSales].[City].&amp;[Delhi]" c="Delhi"/>
              <i n="[MobileSales].[City].&amp;[Hyderabad]" c="Hyderabad"/>
              <i n="[MobileSales].[City].&amp;[Mumbai]" c="Mumbai"/>
            </range>
          </ranges>
        </level>
      </levels>
      <selections count="1">
        <selection n="[MobileSale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C11B6C2-52C5-45E2-A4AB-1B805463E750}" cache="Slicer_Category" caption="Category" columnCount="4" level="1" rowHeight="241300"/>
  <slicer name="City" xr10:uid="{B4D8CC3E-53AB-445F-8420-FD9237E167A4}" cache="Slicer_City" caption="City" columnCount="5"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46CF18-0F04-4660-AF11-BC90D7FE4BAC}" name="MobileSales" displayName="MobileSales" ref="A1:I111" totalsRowShown="0">
  <autoFilter ref="A1:I111" xr:uid="{1446CF18-0F04-4660-AF11-BC90D7FE4BAC}"/>
  <tableColumns count="9">
    <tableColumn id="1" xr3:uid="{C4CBEE8E-B1DD-4F2F-912E-00A4825A9EFD}" name="Date" dataDxfId="26"/>
    <tableColumn id="2" xr3:uid="{6569F5AD-A098-4E97-9E99-53D62E51529D}" name="Order_ID"/>
    <tableColumn id="3" xr3:uid="{44425001-324C-4535-A60A-EF1AA1E66B89}" name="City"/>
    <tableColumn id="4" xr3:uid="{3E3FFBD1-E56F-424A-A55A-E7947675ACD6}" name="Brand"/>
    <tableColumn id="5" xr3:uid="{5CA1C5B3-BF98-4ECA-9628-E6E496C0E9D3}" name="Model"/>
    <tableColumn id="6" xr3:uid="{4471A328-2942-48DF-944D-B6E18AAF478B}" name="Category"/>
    <tableColumn id="7" xr3:uid="{6D150785-6E73-43AD-B034-5E35C002F7A4}" name="Unit_Price_INR" dataDxfId="25"/>
    <tableColumn id="8" xr3:uid="{5C7C08DF-1E11-4C1D-A63D-F2B04BE07B9A}" name="Units_Sold"/>
    <tableColumn id="9" xr3:uid="{39F10C99-F734-495D-A70D-EE8FC394CF35}" name="Total_Revenue_INR"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7EED29-9FAD-45AC-ADDF-0DBA9842A9AF}" name="Table2" displayName="Table2" ref="A1:C2" totalsRowShown="0" headerRowDxfId="5" dataDxfId="4" tableBorderDxfId="3">
  <autoFilter ref="A1:C2" xr:uid="{0A7EED29-9FAD-45AC-ADDF-0DBA9842A9AF}"/>
  <sortState xmlns:xlrd2="http://schemas.microsoft.com/office/spreadsheetml/2017/richdata2" ref="A2:C2">
    <sortCondition descending="1" ref="A1:A2"/>
  </sortState>
  <tableColumns count="3">
    <tableColumn id="1" xr3:uid="{E9C1AD05-514E-49DC-BAA3-B0656DF8A066}" name="Total Sales" dataDxfId="2">
      <calculatedColumnFormula>SUM(MobileSales[Total_Revenue_INR])</calculatedColumnFormula>
    </tableColumn>
    <tableColumn id="2" xr3:uid="{CA42EF21-5F83-4EE1-9989-F40D4FA0CA4F}" name="Top Brand" dataDxfId="1">
      <calculatedColumnFormula>INDEX(MobileSales[Brand], MATCH(MAX(MobileSales[Total_Revenue_INR]), MobileSales[Total_Revenue_INR], 0))</calculatedColumnFormula>
    </tableColumn>
    <tableColumn id="3" xr3:uid="{4AC1EDC5-3235-4D8E-8E94-E842FF542E21}" name="Q2 VS Q1 Growth" dataDxfId="0">
      <calculatedColumnFormula>(SUMIFS(MobileSales[Total_Revenue_INR], MobileSales[Date], "&gt;="&amp;DATE(2026,4,1)) - SUMIFS(MobileSales[Total_Revenue_INR], MobileSales[Date], "&lt;="&amp;DATE(2026,3,31))) / SUMIFS(MobileSales[Total_Revenue_INR], MobileSales[Date], "&lt;="&amp;DATE(2026,3,31))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 /><Relationship Id="rId2" Type="http://schemas.openxmlformats.org/officeDocument/2006/relationships/pivotTable" Target="../pivotTables/pivotTable2.xml" /><Relationship Id="rId1" Type="http://schemas.openxmlformats.org/officeDocument/2006/relationships/pivotTable" Target="../pivotTables/pivotTable1.xml" /></Relationships>
</file>

<file path=xl/worksheets/_rels/sheet3.xml.rels><?xml version="1.0" encoding="UTF-8" standalone="yes"?>
<Relationships xmlns="http://schemas.openxmlformats.org/package/2006/relationships"><Relationship Id="rId3" Type="http://schemas.microsoft.com/office/2007/relationships/slicer" Target="../slicers/slicer1.xml" /><Relationship Id="rId2" Type="http://schemas.openxmlformats.org/officeDocument/2006/relationships/table" Target="../tables/table2.xml"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F7B5D-6D2F-4369-BC3B-AABA2316EB3E}">
  <dimension ref="A1:I111"/>
  <sheetViews>
    <sheetView showGridLines="0" zoomScale="99" workbookViewId="0">
      <selection activeCell="E3" sqref="E3"/>
    </sheetView>
  </sheetViews>
  <sheetFormatPr defaultRowHeight="15" x14ac:dyDescent="0.2"/>
  <cols>
    <col min="1" max="1" width="10.4921875" bestFit="1" customWidth="1"/>
    <col min="2" max="2" width="11.703125" bestFit="1" customWidth="1"/>
    <col min="3" max="3" width="10.22265625" bestFit="1" customWidth="1"/>
    <col min="4" max="4" width="8.7421875" bestFit="1" customWidth="1"/>
    <col min="5" max="5" width="19.90625" customWidth="1"/>
    <col min="6" max="6" width="11.43359375" bestFit="1" customWidth="1"/>
    <col min="7" max="7" width="16.140625" style="11" customWidth="1"/>
    <col min="8" max="8" width="13.046875" bestFit="1" customWidth="1"/>
    <col min="9" max="9" width="16.140625" style="11" customWidth="1"/>
  </cols>
  <sheetData>
    <row r="1" spans="1:9" x14ac:dyDescent="0.2">
      <c r="A1" t="s">
        <v>0</v>
      </c>
      <c r="B1" t="s">
        <v>1</v>
      </c>
      <c r="C1" t="s">
        <v>2</v>
      </c>
      <c r="D1" t="s">
        <v>3</v>
      </c>
      <c r="E1" t="s">
        <v>4</v>
      </c>
      <c r="F1" t="s">
        <v>5</v>
      </c>
      <c r="G1" s="11" t="s">
        <v>6</v>
      </c>
      <c r="H1" t="s">
        <v>7</v>
      </c>
      <c r="I1" s="11" t="s">
        <v>8</v>
      </c>
    </row>
    <row r="2" spans="1:9" x14ac:dyDescent="0.2">
      <c r="A2" s="1">
        <v>46023</v>
      </c>
      <c r="B2" t="s">
        <v>9</v>
      </c>
      <c r="C2" t="s">
        <v>10</v>
      </c>
      <c r="D2" t="s">
        <v>11</v>
      </c>
      <c r="E2" t="s">
        <v>12</v>
      </c>
      <c r="F2" t="s">
        <v>13</v>
      </c>
      <c r="G2" s="11">
        <v>9999</v>
      </c>
      <c r="H2">
        <v>12</v>
      </c>
      <c r="I2" s="11">
        <v>119988</v>
      </c>
    </row>
    <row r="3" spans="1:9" x14ac:dyDescent="0.2">
      <c r="A3" s="1">
        <v>46024</v>
      </c>
      <c r="B3" t="s">
        <v>14</v>
      </c>
      <c r="C3" t="s">
        <v>15</v>
      </c>
      <c r="D3" t="s">
        <v>16</v>
      </c>
      <c r="E3" t="s">
        <v>17</v>
      </c>
      <c r="F3" t="s">
        <v>18</v>
      </c>
      <c r="G3" s="11">
        <v>29999</v>
      </c>
      <c r="H3">
        <v>5</v>
      </c>
      <c r="I3" s="11">
        <v>149995</v>
      </c>
    </row>
    <row r="4" spans="1:9" x14ac:dyDescent="0.2">
      <c r="A4" s="1">
        <v>46026</v>
      </c>
      <c r="B4" t="s">
        <v>19</v>
      </c>
      <c r="C4" t="s">
        <v>20</v>
      </c>
      <c r="D4" t="s">
        <v>21</v>
      </c>
      <c r="E4" t="s">
        <v>22</v>
      </c>
      <c r="F4" t="s">
        <v>23</v>
      </c>
      <c r="G4" s="11">
        <v>134999</v>
      </c>
      <c r="H4">
        <v>2</v>
      </c>
      <c r="I4" s="11">
        <v>269998</v>
      </c>
    </row>
    <row r="5" spans="1:9" x14ac:dyDescent="0.2">
      <c r="A5" s="1">
        <v>46027</v>
      </c>
      <c r="B5" t="s">
        <v>24</v>
      </c>
      <c r="C5" t="s">
        <v>25</v>
      </c>
      <c r="D5" t="s">
        <v>26</v>
      </c>
      <c r="E5" t="s">
        <v>27</v>
      </c>
      <c r="F5" t="s">
        <v>18</v>
      </c>
      <c r="G5" s="11">
        <v>25999</v>
      </c>
      <c r="H5">
        <v>8</v>
      </c>
      <c r="I5" s="11">
        <v>207992</v>
      </c>
    </row>
    <row r="6" spans="1:9" x14ac:dyDescent="0.2">
      <c r="A6" s="1">
        <v>46029</v>
      </c>
      <c r="B6" t="s">
        <v>28</v>
      </c>
      <c r="C6" t="s">
        <v>29</v>
      </c>
      <c r="D6" t="s">
        <v>30</v>
      </c>
      <c r="E6" t="s">
        <v>31</v>
      </c>
      <c r="F6" t="s">
        <v>18</v>
      </c>
      <c r="G6" s="11">
        <v>24999</v>
      </c>
      <c r="H6">
        <v>10</v>
      </c>
      <c r="I6" s="11">
        <v>249990</v>
      </c>
    </row>
    <row r="7" spans="1:9" x14ac:dyDescent="0.2">
      <c r="A7" s="1">
        <v>46031</v>
      </c>
      <c r="B7" t="s">
        <v>32</v>
      </c>
      <c r="C7" t="s">
        <v>10</v>
      </c>
      <c r="D7" t="s">
        <v>16</v>
      </c>
      <c r="E7" t="s">
        <v>33</v>
      </c>
      <c r="F7" t="s">
        <v>13</v>
      </c>
      <c r="G7" s="11">
        <v>12999</v>
      </c>
      <c r="H7">
        <v>15</v>
      </c>
      <c r="I7" s="11">
        <v>194985</v>
      </c>
    </row>
    <row r="8" spans="1:9" x14ac:dyDescent="0.2">
      <c r="A8" s="1">
        <v>46033</v>
      </c>
      <c r="B8" t="s">
        <v>34</v>
      </c>
      <c r="C8" t="s">
        <v>15</v>
      </c>
      <c r="D8" t="s">
        <v>21</v>
      </c>
      <c r="E8" t="s">
        <v>35</v>
      </c>
      <c r="F8" t="s">
        <v>36</v>
      </c>
      <c r="G8" s="11">
        <v>52999</v>
      </c>
      <c r="H8">
        <v>4</v>
      </c>
      <c r="I8" s="11">
        <v>211996</v>
      </c>
    </row>
    <row r="9" spans="1:9" x14ac:dyDescent="0.2">
      <c r="A9" s="1">
        <v>46034</v>
      </c>
      <c r="B9" t="s">
        <v>37</v>
      </c>
      <c r="C9" t="s">
        <v>20</v>
      </c>
      <c r="D9" t="s">
        <v>11</v>
      </c>
      <c r="E9" t="s">
        <v>38</v>
      </c>
      <c r="F9" t="s">
        <v>18</v>
      </c>
      <c r="G9" s="11">
        <v>19999</v>
      </c>
      <c r="H9">
        <v>14</v>
      </c>
      <c r="I9" s="11">
        <v>279986</v>
      </c>
    </row>
    <row r="10" spans="1:9" x14ac:dyDescent="0.2">
      <c r="A10" s="1">
        <v>46037</v>
      </c>
      <c r="B10" t="s">
        <v>39</v>
      </c>
      <c r="C10" t="s">
        <v>25</v>
      </c>
      <c r="D10" t="s">
        <v>30</v>
      </c>
      <c r="E10" t="s">
        <v>40</v>
      </c>
      <c r="F10" t="s">
        <v>36</v>
      </c>
      <c r="G10" s="11">
        <v>64999</v>
      </c>
      <c r="H10">
        <v>3</v>
      </c>
      <c r="I10" s="11">
        <v>194997</v>
      </c>
    </row>
    <row r="11" spans="1:9" x14ac:dyDescent="0.2">
      <c r="A11" s="1">
        <v>46040</v>
      </c>
      <c r="B11" t="s">
        <v>41</v>
      </c>
      <c r="C11" t="s">
        <v>29</v>
      </c>
      <c r="D11" t="s">
        <v>16</v>
      </c>
      <c r="E11" t="s">
        <v>42</v>
      </c>
      <c r="F11" t="s">
        <v>23</v>
      </c>
      <c r="G11" s="11">
        <v>129999</v>
      </c>
      <c r="H11">
        <v>2</v>
      </c>
      <c r="I11" s="11">
        <v>259998</v>
      </c>
    </row>
    <row r="12" spans="1:9" x14ac:dyDescent="0.2">
      <c r="A12" s="1">
        <v>46042</v>
      </c>
      <c r="B12" t="s">
        <v>43</v>
      </c>
      <c r="C12" t="s">
        <v>10</v>
      </c>
      <c r="D12" t="s">
        <v>26</v>
      </c>
      <c r="E12" t="s">
        <v>27</v>
      </c>
      <c r="F12" t="s">
        <v>18</v>
      </c>
      <c r="G12" s="11">
        <v>25999</v>
      </c>
      <c r="H12">
        <v>7</v>
      </c>
      <c r="I12" s="11">
        <v>181993</v>
      </c>
    </row>
    <row r="13" spans="1:9" x14ac:dyDescent="0.2">
      <c r="A13" s="1">
        <v>46044</v>
      </c>
      <c r="B13" t="s">
        <v>44</v>
      </c>
      <c r="C13" t="s">
        <v>15</v>
      </c>
      <c r="D13" t="s">
        <v>11</v>
      </c>
      <c r="E13" t="s">
        <v>12</v>
      </c>
      <c r="F13" t="s">
        <v>13</v>
      </c>
      <c r="G13" s="11">
        <v>9999</v>
      </c>
      <c r="H13">
        <v>20</v>
      </c>
      <c r="I13" s="11">
        <v>199980</v>
      </c>
    </row>
    <row r="14" spans="1:9" x14ac:dyDescent="0.2">
      <c r="A14" s="1">
        <v>46046</v>
      </c>
      <c r="B14" t="s">
        <v>45</v>
      </c>
      <c r="C14" t="s">
        <v>20</v>
      </c>
      <c r="D14" t="s">
        <v>21</v>
      </c>
      <c r="E14" t="s">
        <v>22</v>
      </c>
      <c r="F14" t="s">
        <v>23</v>
      </c>
      <c r="G14" s="11">
        <v>134999</v>
      </c>
      <c r="H14">
        <v>1</v>
      </c>
      <c r="I14" s="11">
        <v>134999</v>
      </c>
    </row>
    <row r="15" spans="1:9" x14ac:dyDescent="0.2">
      <c r="A15" s="1">
        <v>46048</v>
      </c>
      <c r="B15" t="s">
        <v>46</v>
      </c>
      <c r="C15" t="s">
        <v>25</v>
      </c>
      <c r="D15" t="s">
        <v>16</v>
      </c>
      <c r="E15" t="s">
        <v>17</v>
      </c>
      <c r="F15" t="s">
        <v>18</v>
      </c>
      <c r="G15" s="11">
        <v>29999</v>
      </c>
      <c r="H15">
        <v>6</v>
      </c>
      <c r="I15" s="11">
        <v>179994</v>
      </c>
    </row>
    <row r="16" spans="1:9" x14ac:dyDescent="0.2">
      <c r="A16" s="1">
        <v>46050</v>
      </c>
      <c r="B16" t="s">
        <v>47</v>
      </c>
      <c r="C16" t="s">
        <v>29</v>
      </c>
      <c r="D16" t="s">
        <v>30</v>
      </c>
      <c r="E16" t="s">
        <v>31</v>
      </c>
      <c r="F16" t="s">
        <v>18</v>
      </c>
      <c r="G16" s="11">
        <v>24999</v>
      </c>
      <c r="H16">
        <v>9</v>
      </c>
      <c r="I16" s="11">
        <v>224991</v>
      </c>
    </row>
    <row r="17" spans="1:9" x14ac:dyDescent="0.2">
      <c r="A17" s="1">
        <v>46052</v>
      </c>
      <c r="B17" t="s">
        <v>48</v>
      </c>
      <c r="C17" t="s">
        <v>10</v>
      </c>
      <c r="D17" t="s">
        <v>21</v>
      </c>
      <c r="E17" t="s">
        <v>35</v>
      </c>
      <c r="F17" t="s">
        <v>36</v>
      </c>
      <c r="G17" s="11">
        <v>52999</v>
      </c>
      <c r="H17">
        <v>5</v>
      </c>
      <c r="I17" s="11">
        <v>264995</v>
      </c>
    </row>
    <row r="18" spans="1:9" x14ac:dyDescent="0.2">
      <c r="A18" s="1">
        <v>46054</v>
      </c>
      <c r="B18" t="s">
        <v>49</v>
      </c>
      <c r="C18" t="s">
        <v>15</v>
      </c>
      <c r="D18" t="s">
        <v>16</v>
      </c>
      <c r="E18" t="s">
        <v>33</v>
      </c>
      <c r="F18" t="s">
        <v>13</v>
      </c>
      <c r="G18" s="11">
        <v>12999</v>
      </c>
      <c r="H18">
        <v>18</v>
      </c>
      <c r="I18" s="11">
        <v>233982</v>
      </c>
    </row>
    <row r="19" spans="1:9" x14ac:dyDescent="0.2">
      <c r="A19" s="1">
        <v>46056</v>
      </c>
      <c r="B19" t="s">
        <v>50</v>
      </c>
      <c r="C19" t="s">
        <v>20</v>
      </c>
      <c r="D19" t="s">
        <v>11</v>
      </c>
      <c r="E19" t="s">
        <v>38</v>
      </c>
      <c r="F19" t="s">
        <v>18</v>
      </c>
      <c r="G19" s="11">
        <v>19999</v>
      </c>
      <c r="H19">
        <v>11</v>
      </c>
      <c r="I19" s="11">
        <v>219989</v>
      </c>
    </row>
    <row r="20" spans="1:9" x14ac:dyDescent="0.2">
      <c r="A20" s="1">
        <v>46058</v>
      </c>
      <c r="B20" t="s">
        <v>51</v>
      </c>
      <c r="C20" t="s">
        <v>25</v>
      </c>
      <c r="D20" t="s">
        <v>26</v>
      </c>
      <c r="E20" t="s">
        <v>27</v>
      </c>
      <c r="F20" t="s">
        <v>18</v>
      </c>
      <c r="G20" s="11">
        <v>25999</v>
      </c>
      <c r="H20">
        <v>6</v>
      </c>
      <c r="I20" s="11">
        <v>155994</v>
      </c>
    </row>
    <row r="21" spans="1:9" x14ac:dyDescent="0.2">
      <c r="A21" s="1">
        <v>46060</v>
      </c>
      <c r="B21" t="s">
        <v>52</v>
      </c>
      <c r="C21" t="s">
        <v>29</v>
      </c>
      <c r="D21" t="s">
        <v>16</v>
      </c>
      <c r="E21" t="s">
        <v>42</v>
      </c>
      <c r="F21" t="s">
        <v>23</v>
      </c>
      <c r="G21" s="11">
        <v>129999</v>
      </c>
      <c r="H21">
        <v>3</v>
      </c>
      <c r="I21" s="11">
        <v>389997</v>
      </c>
    </row>
    <row r="22" spans="1:9" x14ac:dyDescent="0.2">
      <c r="A22" s="1">
        <v>46063</v>
      </c>
      <c r="B22" t="s">
        <v>53</v>
      </c>
      <c r="C22" t="s">
        <v>10</v>
      </c>
      <c r="D22" t="s">
        <v>30</v>
      </c>
      <c r="E22" t="s">
        <v>40</v>
      </c>
      <c r="F22" t="s">
        <v>36</v>
      </c>
      <c r="G22" s="11">
        <v>64999</v>
      </c>
      <c r="H22">
        <v>4</v>
      </c>
      <c r="I22" s="11">
        <v>259996</v>
      </c>
    </row>
    <row r="23" spans="1:9" x14ac:dyDescent="0.2">
      <c r="A23" s="1">
        <v>46065</v>
      </c>
      <c r="B23" t="s">
        <v>54</v>
      </c>
      <c r="C23" t="s">
        <v>15</v>
      </c>
      <c r="D23" t="s">
        <v>11</v>
      </c>
      <c r="E23" t="s">
        <v>12</v>
      </c>
      <c r="F23" t="s">
        <v>13</v>
      </c>
      <c r="G23" s="11">
        <v>9999</v>
      </c>
      <c r="H23">
        <v>25</v>
      </c>
      <c r="I23" s="11">
        <v>249975</v>
      </c>
    </row>
    <row r="24" spans="1:9" x14ac:dyDescent="0.2">
      <c r="A24" s="1">
        <v>46067</v>
      </c>
      <c r="B24" t="s">
        <v>55</v>
      </c>
      <c r="C24" t="s">
        <v>20</v>
      </c>
      <c r="D24" t="s">
        <v>21</v>
      </c>
      <c r="E24" t="s">
        <v>35</v>
      </c>
      <c r="F24" t="s">
        <v>36</v>
      </c>
      <c r="G24" s="11">
        <v>52999</v>
      </c>
      <c r="H24">
        <v>8</v>
      </c>
      <c r="I24" s="11">
        <v>423992</v>
      </c>
    </row>
    <row r="25" spans="1:9" x14ac:dyDescent="0.2">
      <c r="A25" s="1">
        <v>46069</v>
      </c>
      <c r="B25" t="s">
        <v>56</v>
      </c>
      <c r="C25" t="s">
        <v>25</v>
      </c>
      <c r="D25" t="s">
        <v>30</v>
      </c>
      <c r="E25" t="s">
        <v>31</v>
      </c>
      <c r="F25" t="s">
        <v>18</v>
      </c>
      <c r="G25" s="11">
        <v>24999</v>
      </c>
      <c r="H25">
        <v>12</v>
      </c>
      <c r="I25" s="11">
        <v>299988</v>
      </c>
    </row>
    <row r="26" spans="1:9" x14ac:dyDescent="0.2">
      <c r="A26" s="1">
        <v>46071</v>
      </c>
      <c r="B26" t="s">
        <v>57</v>
      </c>
      <c r="C26" t="s">
        <v>29</v>
      </c>
      <c r="D26" t="s">
        <v>16</v>
      </c>
      <c r="E26" t="s">
        <v>17</v>
      </c>
      <c r="F26" t="s">
        <v>18</v>
      </c>
      <c r="G26" s="11">
        <v>29999</v>
      </c>
      <c r="H26">
        <v>7</v>
      </c>
      <c r="I26" s="11">
        <v>209993</v>
      </c>
    </row>
    <row r="27" spans="1:9" x14ac:dyDescent="0.2">
      <c r="A27" s="1">
        <v>46074</v>
      </c>
      <c r="B27" t="s">
        <v>58</v>
      </c>
      <c r="C27" t="s">
        <v>10</v>
      </c>
      <c r="D27" t="s">
        <v>21</v>
      </c>
      <c r="E27" t="s">
        <v>22</v>
      </c>
      <c r="F27" t="s">
        <v>23</v>
      </c>
      <c r="G27" s="11">
        <v>134999</v>
      </c>
      <c r="H27">
        <v>2</v>
      </c>
      <c r="I27" s="11">
        <v>269998</v>
      </c>
    </row>
    <row r="28" spans="1:9" x14ac:dyDescent="0.2">
      <c r="A28" s="1">
        <v>46076</v>
      </c>
      <c r="B28" t="s">
        <v>59</v>
      </c>
      <c r="C28" t="s">
        <v>15</v>
      </c>
      <c r="D28" t="s">
        <v>16</v>
      </c>
      <c r="E28" t="s">
        <v>33</v>
      </c>
      <c r="F28" t="s">
        <v>13</v>
      </c>
      <c r="G28" s="11">
        <v>12999</v>
      </c>
      <c r="H28">
        <v>22</v>
      </c>
      <c r="I28" s="11">
        <v>285978</v>
      </c>
    </row>
    <row r="29" spans="1:9" x14ac:dyDescent="0.2">
      <c r="A29" s="1">
        <v>46078</v>
      </c>
      <c r="B29" t="s">
        <v>60</v>
      </c>
      <c r="C29" t="s">
        <v>20</v>
      </c>
      <c r="D29" t="s">
        <v>26</v>
      </c>
      <c r="E29" t="s">
        <v>27</v>
      </c>
      <c r="F29" t="s">
        <v>18</v>
      </c>
      <c r="G29" s="11">
        <v>25999</v>
      </c>
      <c r="H29">
        <v>9</v>
      </c>
      <c r="I29" s="11">
        <v>233991</v>
      </c>
    </row>
    <row r="30" spans="1:9" x14ac:dyDescent="0.2">
      <c r="A30" s="1">
        <v>46080</v>
      </c>
      <c r="B30" t="s">
        <v>61</v>
      </c>
      <c r="C30" t="s">
        <v>25</v>
      </c>
      <c r="D30" t="s">
        <v>11</v>
      </c>
      <c r="E30" t="s">
        <v>38</v>
      </c>
      <c r="F30" t="s">
        <v>18</v>
      </c>
      <c r="G30" s="11">
        <v>19999</v>
      </c>
      <c r="H30">
        <v>15</v>
      </c>
      <c r="I30" s="11">
        <v>299985</v>
      </c>
    </row>
    <row r="31" spans="1:9" x14ac:dyDescent="0.2">
      <c r="A31" s="1">
        <v>46082</v>
      </c>
      <c r="B31" t="s">
        <v>62</v>
      </c>
      <c r="C31" t="s">
        <v>29</v>
      </c>
      <c r="D31" t="s">
        <v>30</v>
      </c>
      <c r="E31" t="s">
        <v>40</v>
      </c>
      <c r="F31" t="s">
        <v>36</v>
      </c>
      <c r="G31" s="11">
        <v>64999</v>
      </c>
      <c r="H31">
        <v>5</v>
      </c>
      <c r="I31" s="11">
        <v>324995</v>
      </c>
    </row>
    <row r="32" spans="1:9" x14ac:dyDescent="0.2">
      <c r="A32" s="1">
        <v>46084</v>
      </c>
      <c r="B32" t="s">
        <v>63</v>
      </c>
      <c r="C32" t="s">
        <v>10</v>
      </c>
      <c r="D32" t="s">
        <v>11</v>
      </c>
      <c r="E32" t="s">
        <v>12</v>
      </c>
      <c r="F32" t="s">
        <v>13</v>
      </c>
      <c r="G32" s="11">
        <v>9999</v>
      </c>
      <c r="H32">
        <v>30</v>
      </c>
      <c r="I32" s="11">
        <v>299970</v>
      </c>
    </row>
    <row r="33" spans="1:9" x14ac:dyDescent="0.2">
      <c r="A33" s="1">
        <v>46086</v>
      </c>
      <c r="B33" t="s">
        <v>64</v>
      </c>
      <c r="C33" t="s">
        <v>15</v>
      </c>
      <c r="D33" t="s">
        <v>21</v>
      </c>
      <c r="E33" t="s">
        <v>35</v>
      </c>
      <c r="F33" t="s">
        <v>36</v>
      </c>
      <c r="G33" s="11">
        <v>52999</v>
      </c>
      <c r="H33">
        <v>6</v>
      </c>
      <c r="I33" s="11">
        <v>317994</v>
      </c>
    </row>
    <row r="34" spans="1:9" x14ac:dyDescent="0.2">
      <c r="A34" s="1">
        <v>46088</v>
      </c>
      <c r="B34" t="s">
        <v>65</v>
      </c>
      <c r="C34" t="s">
        <v>20</v>
      </c>
      <c r="D34" t="s">
        <v>16</v>
      </c>
      <c r="E34" t="s">
        <v>42</v>
      </c>
      <c r="F34" t="s">
        <v>23</v>
      </c>
      <c r="G34" s="11">
        <v>129999</v>
      </c>
      <c r="H34">
        <v>4</v>
      </c>
      <c r="I34" s="11">
        <v>519996</v>
      </c>
    </row>
    <row r="35" spans="1:9" x14ac:dyDescent="0.2">
      <c r="A35" s="1">
        <v>46090</v>
      </c>
      <c r="B35" t="s">
        <v>66</v>
      </c>
      <c r="C35" t="s">
        <v>25</v>
      </c>
      <c r="D35" t="s">
        <v>30</v>
      </c>
      <c r="E35" t="s">
        <v>31</v>
      </c>
      <c r="F35" t="s">
        <v>18</v>
      </c>
      <c r="G35" s="11">
        <v>24999</v>
      </c>
      <c r="H35">
        <v>14</v>
      </c>
      <c r="I35" s="11">
        <v>349986</v>
      </c>
    </row>
    <row r="36" spans="1:9" x14ac:dyDescent="0.2">
      <c r="A36" s="1">
        <v>46093</v>
      </c>
      <c r="B36" t="s">
        <v>67</v>
      </c>
      <c r="C36" t="s">
        <v>29</v>
      </c>
      <c r="D36" t="s">
        <v>16</v>
      </c>
      <c r="E36" t="s">
        <v>33</v>
      </c>
      <c r="F36" t="s">
        <v>13</v>
      </c>
      <c r="G36" s="11">
        <v>12999</v>
      </c>
      <c r="H36">
        <v>19</v>
      </c>
      <c r="I36" s="11">
        <v>246981</v>
      </c>
    </row>
    <row r="37" spans="1:9" x14ac:dyDescent="0.2">
      <c r="A37" s="1">
        <v>46095</v>
      </c>
      <c r="B37" t="s">
        <v>68</v>
      </c>
      <c r="C37" t="s">
        <v>10</v>
      </c>
      <c r="D37" t="s">
        <v>26</v>
      </c>
      <c r="E37" t="s">
        <v>27</v>
      </c>
      <c r="F37" t="s">
        <v>18</v>
      </c>
      <c r="G37" s="11">
        <v>25999</v>
      </c>
      <c r="H37">
        <v>8</v>
      </c>
      <c r="I37" s="11">
        <v>207992</v>
      </c>
    </row>
    <row r="38" spans="1:9" x14ac:dyDescent="0.2">
      <c r="A38" s="1">
        <v>46097</v>
      </c>
      <c r="B38" t="s">
        <v>69</v>
      </c>
      <c r="C38" t="s">
        <v>15</v>
      </c>
      <c r="D38" t="s">
        <v>11</v>
      </c>
      <c r="E38" t="s">
        <v>38</v>
      </c>
      <c r="F38" t="s">
        <v>18</v>
      </c>
      <c r="G38" s="11">
        <v>19999</v>
      </c>
      <c r="H38">
        <v>12</v>
      </c>
      <c r="I38" s="11">
        <v>239988</v>
      </c>
    </row>
    <row r="39" spans="1:9" x14ac:dyDescent="0.2">
      <c r="A39" s="1">
        <v>46099</v>
      </c>
      <c r="B39" t="s">
        <v>70</v>
      </c>
      <c r="C39" t="s">
        <v>20</v>
      </c>
      <c r="D39" t="s">
        <v>21</v>
      </c>
      <c r="E39" t="s">
        <v>22</v>
      </c>
      <c r="F39" t="s">
        <v>23</v>
      </c>
      <c r="G39" s="11">
        <v>134999</v>
      </c>
      <c r="H39">
        <v>3</v>
      </c>
      <c r="I39" s="11">
        <v>404997</v>
      </c>
    </row>
    <row r="40" spans="1:9" x14ac:dyDescent="0.2">
      <c r="A40" s="1">
        <v>46102</v>
      </c>
      <c r="B40" t="s">
        <v>71</v>
      </c>
      <c r="C40" t="s">
        <v>25</v>
      </c>
      <c r="D40" t="s">
        <v>16</v>
      </c>
      <c r="E40" t="s">
        <v>17</v>
      </c>
      <c r="F40" t="s">
        <v>18</v>
      </c>
      <c r="G40" s="11">
        <v>29999</v>
      </c>
      <c r="H40">
        <v>9</v>
      </c>
      <c r="I40" s="11">
        <v>269991</v>
      </c>
    </row>
    <row r="41" spans="1:9" x14ac:dyDescent="0.2">
      <c r="A41" s="1">
        <v>46104</v>
      </c>
      <c r="B41" t="s">
        <v>72</v>
      </c>
      <c r="C41" t="s">
        <v>29</v>
      </c>
      <c r="D41" t="s">
        <v>11</v>
      </c>
      <c r="E41" t="s">
        <v>12</v>
      </c>
      <c r="F41" t="s">
        <v>13</v>
      </c>
      <c r="G41" s="11">
        <v>9999</v>
      </c>
      <c r="H41">
        <v>18</v>
      </c>
      <c r="I41" s="11">
        <v>179982</v>
      </c>
    </row>
    <row r="42" spans="1:9" x14ac:dyDescent="0.2">
      <c r="A42" s="1">
        <v>46106</v>
      </c>
      <c r="B42" t="s">
        <v>73</v>
      </c>
      <c r="C42" t="s">
        <v>10</v>
      </c>
      <c r="D42" t="s">
        <v>30</v>
      </c>
      <c r="E42" t="s">
        <v>40</v>
      </c>
      <c r="F42" t="s">
        <v>36</v>
      </c>
      <c r="G42" s="11">
        <v>64999</v>
      </c>
      <c r="H42">
        <v>4</v>
      </c>
      <c r="I42" s="11">
        <v>259996</v>
      </c>
    </row>
    <row r="43" spans="1:9" x14ac:dyDescent="0.2">
      <c r="A43" s="1">
        <v>46108</v>
      </c>
      <c r="B43" t="s">
        <v>74</v>
      </c>
      <c r="C43" t="s">
        <v>15</v>
      </c>
      <c r="D43" t="s">
        <v>26</v>
      </c>
      <c r="E43" t="s">
        <v>27</v>
      </c>
      <c r="F43" t="s">
        <v>18</v>
      </c>
      <c r="G43" s="11">
        <v>25999</v>
      </c>
      <c r="H43">
        <v>10</v>
      </c>
      <c r="I43" s="11">
        <v>259990</v>
      </c>
    </row>
    <row r="44" spans="1:9" x14ac:dyDescent="0.2">
      <c r="A44" s="1">
        <v>46110</v>
      </c>
      <c r="B44" t="s">
        <v>75</v>
      </c>
      <c r="C44" t="s">
        <v>20</v>
      </c>
      <c r="D44" t="s">
        <v>16</v>
      </c>
      <c r="E44" t="s">
        <v>33</v>
      </c>
      <c r="F44" t="s">
        <v>13</v>
      </c>
      <c r="G44" s="11">
        <v>12999</v>
      </c>
      <c r="H44">
        <v>25</v>
      </c>
      <c r="I44" s="11">
        <v>324975</v>
      </c>
    </row>
    <row r="45" spans="1:9" x14ac:dyDescent="0.2">
      <c r="A45" s="1">
        <v>46112</v>
      </c>
      <c r="B45" t="s">
        <v>76</v>
      </c>
      <c r="C45" t="s">
        <v>25</v>
      </c>
      <c r="D45" t="s">
        <v>21</v>
      </c>
      <c r="E45" t="s">
        <v>35</v>
      </c>
      <c r="F45" t="s">
        <v>36</v>
      </c>
      <c r="G45" s="11">
        <v>52999</v>
      </c>
      <c r="H45">
        <v>7</v>
      </c>
      <c r="I45" s="11">
        <v>370993</v>
      </c>
    </row>
    <row r="46" spans="1:9" x14ac:dyDescent="0.2">
      <c r="A46" s="1">
        <v>46114</v>
      </c>
      <c r="B46" t="s">
        <v>77</v>
      </c>
      <c r="C46" t="s">
        <v>29</v>
      </c>
      <c r="D46" t="s">
        <v>30</v>
      </c>
      <c r="E46" t="s">
        <v>31</v>
      </c>
      <c r="F46" t="s">
        <v>18</v>
      </c>
      <c r="G46" s="11">
        <v>24999</v>
      </c>
      <c r="H46">
        <v>15</v>
      </c>
      <c r="I46" s="11">
        <v>374985</v>
      </c>
    </row>
    <row r="47" spans="1:9" x14ac:dyDescent="0.2">
      <c r="A47" s="1">
        <v>46116</v>
      </c>
      <c r="B47" t="s">
        <v>78</v>
      </c>
      <c r="C47" t="s">
        <v>10</v>
      </c>
      <c r="D47" t="s">
        <v>16</v>
      </c>
      <c r="E47" t="s">
        <v>42</v>
      </c>
      <c r="F47" t="s">
        <v>23</v>
      </c>
      <c r="G47" s="11">
        <v>129999</v>
      </c>
      <c r="H47">
        <v>2</v>
      </c>
      <c r="I47" s="11">
        <v>259998</v>
      </c>
    </row>
    <row r="48" spans="1:9" x14ac:dyDescent="0.2">
      <c r="A48" s="1">
        <v>46118</v>
      </c>
      <c r="B48" t="s">
        <v>79</v>
      </c>
      <c r="C48" t="s">
        <v>15</v>
      </c>
      <c r="D48" t="s">
        <v>11</v>
      </c>
      <c r="E48" t="s">
        <v>38</v>
      </c>
      <c r="F48" t="s">
        <v>18</v>
      </c>
      <c r="G48" s="11">
        <v>19999</v>
      </c>
      <c r="H48">
        <v>16</v>
      </c>
      <c r="I48" s="11">
        <v>319984</v>
      </c>
    </row>
    <row r="49" spans="1:9" x14ac:dyDescent="0.2">
      <c r="A49" s="1">
        <v>46120</v>
      </c>
      <c r="B49" t="s">
        <v>80</v>
      </c>
      <c r="C49" t="s">
        <v>20</v>
      </c>
      <c r="D49" t="s">
        <v>11</v>
      </c>
      <c r="E49" t="s">
        <v>12</v>
      </c>
      <c r="F49" t="s">
        <v>13</v>
      </c>
      <c r="G49" s="11">
        <v>9999</v>
      </c>
      <c r="H49">
        <v>22</v>
      </c>
      <c r="I49" s="11">
        <v>219978</v>
      </c>
    </row>
    <row r="50" spans="1:9" x14ac:dyDescent="0.2">
      <c r="A50" s="1">
        <v>46122</v>
      </c>
      <c r="B50" t="s">
        <v>81</v>
      </c>
      <c r="C50" t="s">
        <v>25</v>
      </c>
      <c r="D50" t="s">
        <v>21</v>
      </c>
      <c r="E50" t="s">
        <v>22</v>
      </c>
      <c r="F50" t="s">
        <v>23</v>
      </c>
      <c r="G50" s="11">
        <v>134999</v>
      </c>
      <c r="H50">
        <v>1</v>
      </c>
      <c r="I50" s="11">
        <v>134999</v>
      </c>
    </row>
    <row r="51" spans="1:9" x14ac:dyDescent="0.2">
      <c r="A51" s="1">
        <v>46124</v>
      </c>
      <c r="B51" t="s">
        <v>82</v>
      </c>
      <c r="C51" t="s">
        <v>29</v>
      </c>
      <c r="D51" t="s">
        <v>16</v>
      </c>
      <c r="E51" t="s">
        <v>17</v>
      </c>
      <c r="F51" t="s">
        <v>18</v>
      </c>
      <c r="G51" s="11">
        <v>29999</v>
      </c>
      <c r="H51">
        <v>8</v>
      </c>
      <c r="I51" s="11">
        <v>239992</v>
      </c>
    </row>
    <row r="52" spans="1:9" x14ac:dyDescent="0.2">
      <c r="A52" s="1">
        <v>46127</v>
      </c>
      <c r="B52" t="s">
        <v>83</v>
      </c>
      <c r="C52" t="s">
        <v>10</v>
      </c>
      <c r="D52" t="s">
        <v>26</v>
      </c>
      <c r="E52" t="s">
        <v>27</v>
      </c>
      <c r="F52" t="s">
        <v>18</v>
      </c>
      <c r="G52" s="11">
        <v>25999</v>
      </c>
      <c r="H52">
        <v>11</v>
      </c>
      <c r="I52" s="11">
        <v>285989</v>
      </c>
    </row>
    <row r="53" spans="1:9" x14ac:dyDescent="0.2">
      <c r="A53" s="1">
        <v>46129</v>
      </c>
      <c r="B53" t="s">
        <v>84</v>
      </c>
      <c r="C53" t="s">
        <v>15</v>
      </c>
      <c r="D53" t="s">
        <v>30</v>
      </c>
      <c r="E53" t="s">
        <v>40</v>
      </c>
      <c r="F53" t="s">
        <v>36</v>
      </c>
      <c r="G53" s="11">
        <v>64999</v>
      </c>
      <c r="H53">
        <v>5</v>
      </c>
      <c r="I53" s="11">
        <v>324995</v>
      </c>
    </row>
    <row r="54" spans="1:9" x14ac:dyDescent="0.2">
      <c r="A54" s="1">
        <v>46131</v>
      </c>
      <c r="B54" t="s">
        <v>85</v>
      </c>
      <c r="C54" t="s">
        <v>20</v>
      </c>
      <c r="D54" t="s">
        <v>16</v>
      </c>
      <c r="E54" t="s">
        <v>33</v>
      </c>
      <c r="F54" t="s">
        <v>13</v>
      </c>
      <c r="G54" s="11">
        <v>12999</v>
      </c>
      <c r="H54">
        <v>20</v>
      </c>
      <c r="I54" s="11">
        <v>259980</v>
      </c>
    </row>
    <row r="55" spans="1:9" x14ac:dyDescent="0.2">
      <c r="A55" s="1">
        <v>46133</v>
      </c>
      <c r="B55" t="s">
        <v>86</v>
      </c>
      <c r="C55" t="s">
        <v>25</v>
      </c>
      <c r="D55" t="s">
        <v>21</v>
      </c>
      <c r="E55" t="s">
        <v>35</v>
      </c>
      <c r="F55" t="s">
        <v>36</v>
      </c>
      <c r="G55" s="11">
        <v>52999</v>
      </c>
      <c r="H55">
        <v>6</v>
      </c>
      <c r="I55" s="11">
        <v>317994</v>
      </c>
    </row>
    <row r="56" spans="1:9" x14ac:dyDescent="0.2">
      <c r="A56" s="1">
        <v>46135</v>
      </c>
      <c r="B56" t="s">
        <v>87</v>
      </c>
      <c r="C56" t="s">
        <v>29</v>
      </c>
      <c r="D56" t="s">
        <v>11</v>
      </c>
      <c r="E56" t="s">
        <v>38</v>
      </c>
      <c r="F56" t="s">
        <v>18</v>
      </c>
      <c r="G56" s="11">
        <v>19999</v>
      </c>
      <c r="H56">
        <v>13</v>
      </c>
      <c r="I56" s="11">
        <v>259987</v>
      </c>
    </row>
    <row r="57" spans="1:9" x14ac:dyDescent="0.2">
      <c r="A57" s="1">
        <v>46137</v>
      </c>
      <c r="B57" t="s">
        <v>88</v>
      </c>
      <c r="C57" t="s">
        <v>10</v>
      </c>
      <c r="D57" t="s">
        <v>30</v>
      </c>
      <c r="E57" t="s">
        <v>31</v>
      </c>
      <c r="F57" t="s">
        <v>18</v>
      </c>
      <c r="G57" s="11">
        <v>24999</v>
      </c>
      <c r="H57">
        <v>16</v>
      </c>
      <c r="I57" s="11">
        <v>399984</v>
      </c>
    </row>
    <row r="58" spans="1:9" x14ac:dyDescent="0.2">
      <c r="A58" s="1">
        <v>46139</v>
      </c>
      <c r="B58" t="s">
        <v>89</v>
      </c>
      <c r="C58" t="s">
        <v>15</v>
      </c>
      <c r="D58" t="s">
        <v>16</v>
      </c>
      <c r="E58" t="s">
        <v>42</v>
      </c>
      <c r="F58" t="s">
        <v>23</v>
      </c>
      <c r="G58" s="11">
        <v>129999</v>
      </c>
      <c r="H58">
        <v>3</v>
      </c>
      <c r="I58" s="11">
        <v>389997</v>
      </c>
    </row>
    <row r="59" spans="1:9" x14ac:dyDescent="0.2">
      <c r="A59" s="1">
        <v>46141</v>
      </c>
      <c r="B59" t="s">
        <v>90</v>
      </c>
      <c r="C59" t="s">
        <v>20</v>
      </c>
      <c r="D59" t="s">
        <v>11</v>
      </c>
      <c r="E59" t="s">
        <v>12</v>
      </c>
      <c r="F59" t="s">
        <v>13</v>
      </c>
      <c r="G59" s="11">
        <v>9999</v>
      </c>
      <c r="H59">
        <v>28</v>
      </c>
      <c r="I59" s="11">
        <v>279972</v>
      </c>
    </row>
    <row r="60" spans="1:9" x14ac:dyDescent="0.2">
      <c r="A60" s="1">
        <v>46144</v>
      </c>
      <c r="B60" t="s">
        <v>91</v>
      </c>
      <c r="C60" t="s">
        <v>25</v>
      </c>
      <c r="D60" t="s">
        <v>26</v>
      </c>
      <c r="E60" t="s">
        <v>27</v>
      </c>
      <c r="F60" t="s">
        <v>18</v>
      </c>
      <c r="G60" s="11">
        <v>25999</v>
      </c>
      <c r="H60">
        <v>9</v>
      </c>
      <c r="I60" s="11">
        <v>233991</v>
      </c>
    </row>
    <row r="61" spans="1:9" x14ac:dyDescent="0.2">
      <c r="A61" s="1">
        <v>46146</v>
      </c>
      <c r="B61" t="s">
        <v>92</v>
      </c>
      <c r="C61" t="s">
        <v>29</v>
      </c>
      <c r="D61" t="s">
        <v>21</v>
      </c>
      <c r="E61" t="s">
        <v>22</v>
      </c>
      <c r="F61" t="s">
        <v>23</v>
      </c>
      <c r="G61" s="11">
        <v>134999</v>
      </c>
      <c r="H61">
        <v>2</v>
      </c>
      <c r="I61" s="11">
        <v>269998</v>
      </c>
    </row>
    <row r="62" spans="1:9" x14ac:dyDescent="0.2">
      <c r="A62" s="1">
        <v>46148</v>
      </c>
      <c r="B62" t="s">
        <v>93</v>
      </c>
      <c r="C62" t="s">
        <v>10</v>
      </c>
      <c r="D62" t="s">
        <v>16</v>
      </c>
      <c r="E62" t="s">
        <v>17</v>
      </c>
      <c r="F62" t="s">
        <v>18</v>
      </c>
      <c r="G62" s="11">
        <v>29999</v>
      </c>
      <c r="H62">
        <v>7</v>
      </c>
      <c r="I62" s="11">
        <v>209993</v>
      </c>
    </row>
    <row r="63" spans="1:9" x14ac:dyDescent="0.2">
      <c r="A63" s="1">
        <v>46150</v>
      </c>
      <c r="B63" t="s">
        <v>94</v>
      </c>
      <c r="C63" t="s">
        <v>15</v>
      </c>
      <c r="D63" t="s">
        <v>30</v>
      </c>
      <c r="E63" t="s">
        <v>40</v>
      </c>
      <c r="F63" t="s">
        <v>36</v>
      </c>
      <c r="G63" s="11">
        <v>64999</v>
      </c>
      <c r="H63">
        <v>6</v>
      </c>
      <c r="I63" s="11">
        <v>389994</v>
      </c>
    </row>
    <row r="64" spans="1:9" x14ac:dyDescent="0.2">
      <c r="A64" s="1">
        <v>46152</v>
      </c>
      <c r="B64" t="s">
        <v>95</v>
      </c>
      <c r="C64" t="s">
        <v>20</v>
      </c>
      <c r="D64" t="s">
        <v>16</v>
      </c>
      <c r="E64" t="s">
        <v>33</v>
      </c>
      <c r="F64" t="s">
        <v>13</v>
      </c>
      <c r="G64" s="11">
        <v>12999</v>
      </c>
      <c r="H64">
        <v>24</v>
      </c>
      <c r="I64" s="11">
        <v>311976</v>
      </c>
    </row>
    <row r="65" spans="1:9" x14ac:dyDescent="0.2">
      <c r="A65" s="1">
        <v>46154</v>
      </c>
      <c r="B65" t="s">
        <v>96</v>
      </c>
      <c r="C65" t="s">
        <v>25</v>
      </c>
      <c r="D65" t="s">
        <v>11</v>
      </c>
      <c r="E65" t="s">
        <v>38</v>
      </c>
      <c r="F65" t="s">
        <v>18</v>
      </c>
      <c r="G65" s="11">
        <v>19999</v>
      </c>
      <c r="H65">
        <v>18</v>
      </c>
      <c r="I65" s="11">
        <v>359982</v>
      </c>
    </row>
    <row r="66" spans="1:9" x14ac:dyDescent="0.2">
      <c r="A66" s="1">
        <v>46157</v>
      </c>
      <c r="B66" t="s">
        <v>97</v>
      </c>
      <c r="C66" t="s">
        <v>29</v>
      </c>
      <c r="D66" t="s">
        <v>21</v>
      </c>
      <c r="E66" t="s">
        <v>35</v>
      </c>
      <c r="F66" t="s">
        <v>36</v>
      </c>
      <c r="G66" s="11">
        <v>52999</v>
      </c>
      <c r="H66">
        <v>5</v>
      </c>
      <c r="I66" s="11">
        <v>264995</v>
      </c>
    </row>
    <row r="67" spans="1:9" x14ac:dyDescent="0.2">
      <c r="A67" s="1">
        <v>46159</v>
      </c>
      <c r="B67" t="s">
        <v>98</v>
      </c>
      <c r="C67" t="s">
        <v>10</v>
      </c>
      <c r="D67" t="s">
        <v>30</v>
      </c>
      <c r="E67" t="s">
        <v>31</v>
      </c>
      <c r="F67" t="s">
        <v>18</v>
      </c>
      <c r="G67" s="11">
        <v>24999</v>
      </c>
      <c r="H67">
        <v>14</v>
      </c>
      <c r="I67" s="11">
        <v>349986</v>
      </c>
    </row>
    <row r="68" spans="1:9" x14ac:dyDescent="0.2">
      <c r="A68" s="1">
        <v>46161</v>
      </c>
      <c r="B68" t="s">
        <v>99</v>
      </c>
      <c r="C68" t="s">
        <v>15</v>
      </c>
      <c r="D68" t="s">
        <v>11</v>
      </c>
      <c r="E68" t="s">
        <v>12</v>
      </c>
      <c r="F68" t="s">
        <v>13</v>
      </c>
      <c r="G68" s="11">
        <v>9999</v>
      </c>
      <c r="H68">
        <v>26</v>
      </c>
      <c r="I68" s="11">
        <v>259974</v>
      </c>
    </row>
    <row r="69" spans="1:9" x14ac:dyDescent="0.2">
      <c r="A69" s="1">
        <v>46163</v>
      </c>
      <c r="B69" t="s">
        <v>100</v>
      </c>
      <c r="C69" t="s">
        <v>20</v>
      </c>
      <c r="D69" t="s">
        <v>26</v>
      </c>
      <c r="E69" t="s">
        <v>27</v>
      </c>
      <c r="F69" t="s">
        <v>18</v>
      </c>
      <c r="G69" s="11">
        <v>25999</v>
      </c>
      <c r="H69">
        <v>10</v>
      </c>
      <c r="I69" s="11">
        <v>259990</v>
      </c>
    </row>
    <row r="70" spans="1:9" x14ac:dyDescent="0.2">
      <c r="A70" s="1">
        <v>46165</v>
      </c>
      <c r="B70" t="s">
        <v>101</v>
      </c>
      <c r="C70" t="s">
        <v>25</v>
      </c>
      <c r="D70" t="s">
        <v>16</v>
      </c>
      <c r="E70" t="s">
        <v>42</v>
      </c>
      <c r="F70" t="s">
        <v>23</v>
      </c>
      <c r="G70" s="11">
        <v>129999</v>
      </c>
      <c r="H70">
        <v>4</v>
      </c>
      <c r="I70" s="11">
        <v>519996</v>
      </c>
    </row>
    <row r="71" spans="1:9" x14ac:dyDescent="0.2">
      <c r="A71" s="1">
        <v>46167</v>
      </c>
      <c r="B71" t="s">
        <v>102</v>
      </c>
      <c r="C71" t="s">
        <v>29</v>
      </c>
      <c r="D71" t="s">
        <v>16</v>
      </c>
      <c r="E71" t="s">
        <v>17</v>
      </c>
      <c r="F71" t="s">
        <v>18</v>
      </c>
      <c r="G71" s="11">
        <v>29999</v>
      </c>
      <c r="H71">
        <v>11</v>
      </c>
      <c r="I71" s="11">
        <v>329989</v>
      </c>
    </row>
    <row r="72" spans="1:9" x14ac:dyDescent="0.2">
      <c r="A72" s="1">
        <v>46169</v>
      </c>
      <c r="B72" t="s">
        <v>103</v>
      </c>
      <c r="C72" t="s">
        <v>10</v>
      </c>
      <c r="D72" t="s">
        <v>21</v>
      </c>
      <c r="E72" t="s">
        <v>22</v>
      </c>
      <c r="F72" t="s">
        <v>23</v>
      </c>
      <c r="G72" s="11">
        <v>134999</v>
      </c>
      <c r="H72">
        <v>3</v>
      </c>
      <c r="I72" s="11">
        <v>404997</v>
      </c>
    </row>
    <row r="73" spans="1:9" x14ac:dyDescent="0.2">
      <c r="A73" s="1">
        <v>46171</v>
      </c>
      <c r="B73" t="s">
        <v>104</v>
      </c>
      <c r="C73" t="s">
        <v>15</v>
      </c>
      <c r="D73" t="s">
        <v>30</v>
      </c>
      <c r="E73" t="s">
        <v>40</v>
      </c>
      <c r="F73" t="s">
        <v>36</v>
      </c>
      <c r="G73" s="11">
        <v>64999</v>
      </c>
      <c r="H73">
        <v>4</v>
      </c>
      <c r="I73" s="11">
        <v>259996</v>
      </c>
    </row>
    <row r="74" spans="1:9" x14ac:dyDescent="0.2">
      <c r="A74" s="1">
        <v>46173</v>
      </c>
      <c r="B74" t="s">
        <v>105</v>
      </c>
      <c r="C74" t="s">
        <v>20</v>
      </c>
      <c r="D74" t="s">
        <v>11</v>
      </c>
      <c r="E74" t="s">
        <v>38</v>
      </c>
      <c r="F74" t="s">
        <v>18</v>
      </c>
      <c r="G74" s="11">
        <v>19999</v>
      </c>
      <c r="H74">
        <v>15</v>
      </c>
      <c r="I74" s="11">
        <v>299985</v>
      </c>
    </row>
    <row r="75" spans="1:9" x14ac:dyDescent="0.2">
      <c r="A75" s="1">
        <v>46175</v>
      </c>
      <c r="B75" t="s">
        <v>106</v>
      </c>
      <c r="C75" t="s">
        <v>25</v>
      </c>
      <c r="D75" t="s">
        <v>16</v>
      </c>
      <c r="E75" t="s">
        <v>33</v>
      </c>
      <c r="F75" t="s">
        <v>13</v>
      </c>
      <c r="G75" s="11">
        <v>12999</v>
      </c>
      <c r="H75">
        <v>21</v>
      </c>
      <c r="I75" s="11">
        <v>272979</v>
      </c>
    </row>
    <row r="76" spans="1:9" x14ac:dyDescent="0.2">
      <c r="A76" s="1">
        <v>46177</v>
      </c>
      <c r="B76" t="s">
        <v>107</v>
      </c>
      <c r="C76" t="s">
        <v>29</v>
      </c>
      <c r="D76" t="s">
        <v>21</v>
      </c>
      <c r="E76" t="s">
        <v>35</v>
      </c>
      <c r="F76" t="s">
        <v>36</v>
      </c>
      <c r="G76" s="11">
        <v>52999</v>
      </c>
      <c r="H76">
        <v>7</v>
      </c>
      <c r="I76" s="11">
        <v>370993</v>
      </c>
    </row>
    <row r="77" spans="1:9" x14ac:dyDescent="0.2">
      <c r="A77" s="1">
        <v>46179</v>
      </c>
      <c r="B77" t="s">
        <v>108</v>
      </c>
      <c r="C77" t="s">
        <v>10</v>
      </c>
      <c r="D77" t="s">
        <v>26</v>
      </c>
      <c r="E77" t="s">
        <v>27</v>
      </c>
      <c r="F77" t="s">
        <v>18</v>
      </c>
      <c r="G77" s="11">
        <v>25999</v>
      </c>
      <c r="H77">
        <v>8</v>
      </c>
      <c r="I77" s="11">
        <v>207992</v>
      </c>
    </row>
    <row r="78" spans="1:9" x14ac:dyDescent="0.2">
      <c r="A78" s="1">
        <v>46181</v>
      </c>
      <c r="B78" t="s">
        <v>109</v>
      </c>
      <c r="C78" t="s">
        <v>15</v>
      </c>
      <c r="D78" t="s">
        <v>30</v>
      </c>
      <c r="E78" t="s">
        <v>31</v>
      </c>
      <c r="F78" t="s">
        <v>18</v>
      </c>
      <c r="G78" s="11">
        <v>24999</v>
      </c>
      <c r="H78">
        <v>17</v>
      </c>
      <c r="I78" s="11">
        <v>424983</v>
      </c>
    </row>
    <row r="79" spans="1:9" x14ac:dyDescent="0.2">
      <c r="A79" s="1">
        <v>46183</v>
      </c>
      <c r="B79" t="s">
        <v>110</v>
      </c>
      <c r="C79" t="s">
        <v>20</v>
      </c>
      <c r="D79" t="s">
        <v>11</v>
      </c>
      <c r="E79" t="s">
        <v>12</v>
      </c>
      <c r="F79" t="s">
        <v>13</v>
      </c>
      <c r="G79" s="11">
        <v>9999</v>
      </c>
      <c r="H79">
        <v>32</v>
      </c>
      <c r="I79" s="11">
        <v>319968</v>
      </c>
    </row>
    <row r="80" spans="1:9" x14ac:dyDescent="0.2">
      <c r="A80" s="1">
        <v>46185</v>
      </c>
      <c r="B80" t="s">
        <v>111</v>
      </c>
      <c r="C80" t="s">
        <v>25</v>
      </c>
      <c r="D80" t="s">
        <v>16</v>
      </c>
      <c r="E80" t="s">
        <v>17</v>
      </c>
      <c r="F80" t="s">
        <v>18</v>
      </c>
      <c r="G80" s="11">
        <v>29999</v>
      </c>
      <c r="H80">
        <v>10</v>
      </c>
      <c r="I80" s="11">
        <v>299990</v>
      </c>
    </row>
    <row r="81" spans="1:9" x14ac:dyDescent="0.2">
      <c r="A81" s="1">
        <v>46187</v>
      </c>
      <c r="B81" t="s">
        <v>112</v>
      </c>
      <c r="C81" t="s">
        <v>29</v>
      </c>
      <c r="D81" t="s">
        <v>16</v>
      </c>
      <c r="E81" t="s">
        <v>42</v>
      </c>
      <c r="F81" t="s">
        <v>23</v>
      </c>
      <c r="G81" s="11">
        <v>129999</v>
      </c>
      <c r="H81">
        <v>2</v>
      </c>
      <c r="I81" s="11">
        <v>259998</v>
      </c>
    </row>
    <row r="82" spans="1:9" x14ac:dyDescent="0.2">
      <c r="A82" s="1">
        <v>46189</v>
      </c>
      <c r="B82" t="s">
        <v>113</v>
      </c>
      <c r="C82" t="s">
        <v>10</v>
      </c>
      <c r="D82" t="s">
        <v>21</v>
      </c>
      <c r="E82" t="s">
        <v>22</v>
      </c>
      <c r="F82" t="s">
        <v>23</v>
      </c>
      <c r="G82" s="11">
        <v>134999</v>
      </c>
      <c r="H82">
        <v>1</v>
      </c>
      <c r="I82" s="11">
        <v>134999</v>
      </c>
    </row>
    <row r="83" spans="1:9" x14ac:dyDescent="0.2">
      <c r="A83" s="1">
        <v>46191</v>
      </c>
      <c r="B83" t="s">
        <v>114</v>
      </c>
      <c r="C83" t="s">
        <v>15</v>
      </c>
      <c r="D83" t="s">
        <v>11</v>
      </c>
      <c r="E83" t="s">
        <v>38</v>
      </c>
      <c r="F83" t="s">
        <v>18</v>
      </c>
      <c r="G83" s="11">
        <v>19999</v>
      </c>
      <c r="H83">
        <v>20</v>
      </c>
      <c r="I83" s="11">
        <v>399980</v>
      </c>
    </row>
    <row r="84" spans="1:9" x14ac:dyDescent="0.2">
      <c r="A84" s="1">
        <v>46193</v>
      </c>
      <c r="B84" t="s">
        <v>115</v>
      </c>
      <c r="C84" t="s">
        <v>20</v>
      </c>
      <c r="D84" t="s">
        <v>30</v>
      </c>
      <c r="E84" t="s">
        <v>40</v>
      </c>
      <c r="F84" t="s">
        <v>36</v>
      </c>
      <c r="G84" s="11">
        <v>64999</v>
      </c>
      <c r="H84">
        <v>5</v>
      </c>
      <c r="I84" s="11">
        <v>324995</v>
      </c>
    </row>
    <row r="85" spans="1:9" x14ac:dyDescent="0.2">
      <c r="A85" s="1">
        <v>46194</v>
      </c>
      <c r="B85" t="s">
        <v>116</v>
      </c>
      <c r="C85" t="s">
        <v>25</v>
      </c>
      <c r="D85" t="s">
        <v>26</v>
      </c>
      <c r="E85" t="s">
        <v>27</v>
      </c>
      <c r="F85" t="s">
        <v>18</v>
      </c>
      <c r="G85" s="11">
        <v>25999</v>
      </c>
      <c r="H85">
        <v>12</v>
      </c>
      <c r="I85" s="11">
        <v>311988</v>
      </c>
    </row>
    <row r="86" spans="1:9" x14ac:dyDescent="0.2">
      <c r="A86" s="1">
        <v>46195</v>
      </c>
      <c r="B86" t="s">
        <v>117</v>
      </c>
      <c r="C86" t="s">
        <v>29</v>
      </c>
      <c r="D86" t="s">
        <v>16</v>
      </c>
      <c r="E86" t="s">
        <v>33</v>
      </c>
      <c r="F86" t="s">
        <v>13</v>
      </c>
      <c r="G86" s="11">
        <v>12999</v>
      </c>
      <c r="H86">
        <v>23</v>
      </c>
      <c r="I86" s="11">
        <v>298977</v>
      </c>
    </row>
    <row r="87" spans="1:9" x14ac:dyDescent="0.2">
      <c r="A87" s="1">
        <v>46196</v>
      </c>
      <c r="B87" t="s">
        <v>118</v>
      </c>
      <c r="C87" t="s">
        <v>10</v>
      </c>
      <c r="D87" t="s">
        <v>21</v>
      </c>
      <c r="E87" t="s">
        <v>35</v>
      </c>
      <c r="F87" t="s">
        <v>36</v>
      </c>
      <c r="G87" s="11">
        <v>52999</v>
      </c>
      <c r="H87">
        <v>9</v>
      </c>
      <c r="I87" s="11">
        <v>476991</v>
      </c>
    </row>
    <row r="88" spans="1:9" x14ac:dyDescent="0.2">
      <c r="A88" s="1">
        <v>46197</v>
      </c>
      <c r="B88" t="s">
        <v>119</v>
      </c>
      <c r="C88" t="s">
        <v>15</v>
      </c>
      <c r="D88" t="s">
        <v>30</v>
      </c>
      <c r="E88" t="s">
        <v>31</v>
      </c>
      <c r="F88" t="s">
        <v>18</v>
      </c>
      <c r="G88" s="11">
        <v>24999</v>
      </c>
      <c r="H88">
        <v>15</v>
      </c>
      <c r="I88" s="11">
        <v>374985</v>
      </c>
    </row>
    <row r="89" spans="1:9" x14ac:dyDescent="0.2">
      <c r="A89" s="1">
        <v>46198</v>
      </c>
      <c r="B89" t="s">
        <v>120</v>
      </c>
      <c r="C89" t="s">
        <v>20</v>
      </c>
      <c r="D89" t="s">
        <v>16</v>
      </c>
      <c r="E89" t="s">
        <v>17</v>
      </c>
      <c r="F89" t="s">
        <v>18</v>
      </c>
      <c r="G89" s="11">
        <v>29999</v>
      </c>
      <c r="H89">
        <v>8</v>
      </c>
      <c r="I89" s="11">
        <v>239992</v>
      </c>
    </row>
    <row r="90" spans="1:9" x14ac:dyDescent="0.2">
      <c r="A90" s="1">
        <v>46198</v>
      </c>
      <c r="B90" t="s">
        <v>121</v>
      </c>
      <c r="C90" t="s">
        <v>25</v>
      </c>
      <c r="D90" t="s">
        <v>11</v>
      </c>
      <c r="E90" t="s">
        <v>12</v>
      </c>
      <c r="F90" t="s">
        <v>13</v>
      </c>
      <c r="G90" s="11">
        <v>9999</v>
      </c>
      <c r="H90">
        <v>25</v>
      </c>
      <c r="I90" s="11">
        <v>249975</v>
      </c>
    </row>
    <row r="91" spans="1:9" x14ac:dyDescent="0.2">
      <c r="A91" s="1">
        <v>46199</v>
      </c>
      <c r="B91" t="s">
        <v>122</v>
      </c>
      <c r="C91" t="s">
        <v>29</v>
      </c>
      <c r="D91" t="s">
        <v>21</v>
      </c>
      <c r="E91" t="s">
        <v>22</v>
      </c>
      <c r="F91" t="s">
        <v>23</v>
      </c>
      <c r="G91" s="11">
        <v>134999</v>
      </c>
      <c r="H91">
        <v>4</v>
      </c>
      <c r="I91" s="11">
        <v>539996</v>
      </c>
    </row>
    <row r="92" spans="1:9" x14ac:dyDescent="0.2">
      <c r="A92" s="1">
        <v>46199</v>
      </c>
      <c r="B92" t="s">
        <v>123</v>
      </c>
      <c r="C92" t="s">
        <v>10</v>
      </c>
      <c r="D92" t="s">
        <v>16</v>
      </c>
      <c r="E92" t="s">
        <v>42</v>
      </c>
      <c r="F92" t="s">
        <v>23</v>
      </c>
      <c r="G92" s="11">
        <v>129999</v>
      </c>
      <c r="H92">
        <v>3</v>
      </c>
      <c r="I92" s="11">
        <v>389997</v>
      </c>
    </row>
    <row r="93" spans="1:9" x14ac:dyDescent="0.2">
      <c r="A93" s="1">
        <v>46200</v>
      </c>
      <c r="B93" t="s">
        <v>124</v>
      </c>
      <c r="C93" t="s">
        <v>15</v>
      </c>
      <c r="D93" t="s">
        <v>26</v>
      </c>
      <c r="E93" t="s">
        <v>27</v>
      </c>
      <c r="F93" t="s">
        <v>18</v>
      </c>
      <c r="G93" s="11">
        <v>25999</v>
      </c>
      <c r="H93">
        <v>10</v>
      </c>
      <c r="I93" s="11">
        <v>259990</v>
      </c>
    </row>
    <row r="94" spans="1:9" x14ac:dyDescent="0.2">
      <c r="A94" s="1">
        <v>46200</v>
      </c>
      <c r="B94" t="s">
        <v>125</v>
      </c>
      <c r="C94" t="s">
        <v>20</v>
      </c>
      <c r="D94" t="s">
        <v>11</v>
      </c>
      <c r="E94" t="s">
        <v>38</v>
      </c>
      <c r="F94" t="s">
        <v>18</v>
      </c>
      <c r="G94" s="11">
        <v>19999</v>
      </c>
      <c r="H94">
        <v>18</v>
      </c>
      <c r="I94" s="11">
        <v>359982</v>
      </c>
    </row>
    <row r="95" spans="1:9" x14ac:dyDescent="0.2">
      <c r="A95" s="1">
        <v>46201</v>
      </c>
      <c r="B95" t="s">
        <v>126</v>
      </c>
      <c r="C95" t="s">
        <v>25</v>
      </c>
      <c r="D95" t="s">
        <v>30</v>
      </c>
      <c r="E95" t="s">
        <v>40</v>
      </c>
      <c r="F95" t="s">
        <v>36</v>
      </c>
      <c r="G95" s="11">
        <v>64999</v>
      </c>
      <c r="H95">
        <v>7</v>
      </c>
      <c r="I95" s="11">
        <v>454993</v>
      </c>
    </row>
    <row r="96" spans="1:9" x14ac:dyDescent="0.2">
      <c r="A96" s="1">
        <v>46201</v>
      </c>
      <c r="B96" t="s">
        <v>127</v>
      </c>
      <c r="C96" t="s">
        <v>29</v>
      </c>
      <c r="D96" t="s">
        <v>16</v>
      </c>
      <c r="E96" t="s">
        <v>33</v>
      </c>
      <c r="F96" t="s">
        <v>13</v>
      </c>
      <c r="G96" s="11">
        <v>12999</v>
      </c>
      <c r="H96">
        <v>27</v>
      </c>
      <c r="I96" s="11">
        <v>350973</v>
      </c>
    </row>
    <row r="97" spans="1:9" x14ac:dyDescent="0.2">
      <c r="A97" s="1">
        <v>46202</v>
      </c>
      <c r="B97" t="s">
        <v>128</v>
      </c>
      <c r="C97" t="s">
        <v>10</v>
      </c>
      <c r="D97" t="s">
        <v>30</v>
      </c>
      <c r="E97" t="s">
        <v>31</v>
      </c>
      <c r="F97" t="s">
        <v>18</v>
      </c>
      <c r="G97" s="11">
        <v>24999</v>
      </c>
      <c r="H97">
        <v>19</v>
      </c>
      <c r="I97" s="11">
        <v>474981</v>
      </c>
    </row>
    <row r="98" spans="1:9" x14ac:dyDescent="0.2">
      <c r="A98" s="1">
        <v>46202</v>
      </c>
      <c r="B98" t="s">
        <v>129</v>
      </c>
      <c r="C98" t="s">
        <v>15</v>
      </c>
      <c r="D98" t="s">
        <v>21</v>
      </c>
      <c r="E98" t="s">
        <v>35</v>
      </c>
      <c r="F98" t="s">
        <v>36</v>
      </c>
      <c r="G98" s="11">
        <v>52999</v>
      </c>
      <c r="H98">
        <v>8</v>
      </c>
      <c r="I98" s="11">
        <v>423992</v>
      </c>
    </row>
    <row r="99" spans="1:9" x14ac:dyDescent="0.2">
      <c r="A99" s="1">
        <v>46202</v>
      </c>
      <c r="B99" t="s">
        <v>130</v>
      </c>
      <c r="C99" t="s">
        <v>20</v>
      </c>
      <c r="D99" t="s">
        <v>16</v>
      </c>
      <c r="E99" t="s">
        <v>17</v>
      </c>
      <c r="F99" t="s">
        <v>18</v>
      </c>
      <c r="G99" s="11">
        <v>29999</v>
      </c>
      <c r="H99">
        <v>12</v>
      </c>
      <c r="I99" s="11">
        <v>359988</v>
      </c>
    </row>
    <row r="100" spans="1:9" x14ac:dyDescent="0.2">
      <c r="A100" s="1">
        <v>46203</v>
      </c>
      <c r="B100" t="s">
        <v>131</v>
      </c>
      <c r="C100" t="s">
        <v>25</v>
      </c>
      <c r="D100" t="s">
        <v>11</v>
      </c>
      <c r="E100" t="s">
        <v>12</v>
      </c>
      <c r="F100" t="s">
        <v>13</v>
      </c>
      <c r="G100" s="11">
        <v>9999</v>
      </c>
      <c r="H100">
        <v>35</v>
      </c>
      <c r="I100" s="11">
        <v>349965</v>
      </c>
    </row>
    <row r="101" spans="1:9" x14ac:dyDescent="0.2">
      <c r="A101" s="1">
        <v>46203</v>
      </c>
      <c r="B101" t="s">
        <v>132</v>
      </c>
      <c r="C101" t="s">
        <v>29</v>
      </c>
      <c r="D101" t="s">
        <v>26</v>
      </c>
      <c r="E101" t="s">
        <v>27</v>
      </c>
      <c r="F101" t="s">
        <v>18</v>
      </c>
      <c r="G101" s="11">
        <v>25999</v>
      </c>
      <c r="H101">
        <v>14</v>
      </c>
      <c r="I101" s="11">
        <v>363986</v>
      </c>
    </row>
    <row r="102" spans="1:9" x14ac:dyDescent="0.2">
      <c r="A102" s="1">
        <v>46203</v>
      </c>
      <c r="B102" t="s">
        <v>133</v>
      </c>
      <c r="C102" t="s">
        <v>10</v>
      </c>
      <c r="D102" t="s">
        <v>21</v>
      </c>
      <c r="E102" t="s">
        <v>22</v>
      </c>
      <c r="F102" t="s">
        <v>23</v>
      </c>
      <c r="G102" s="11">
        <v>134999</v>
      </c>
      <c r="H102">
        <v>5</v>
      </c>
      <c r="I102" s="11">
        <v>674995</v>
      </c>
    </row>
    <row r="103" spans="1:9" x14ac:dyDescent="0.2">
      <c r="A103" s="1">
        <v>46203</v>
      </c>
      <c r="B103" t="s">
        <v>134</v>
      </c>
      <c r="C103" t="s">
        <v>15</v>
      </c>
      <c r="D103" t="s">
        <v>16</v>
      </c>
      <c r="E103" t="s">
        <v>42</v>
      </c>
      <c r="F103" t="s">
        <v>23</v>
      </c>
      <c r="G103" s="11">
        <v>129999</v>
      </c>
      <c r="H103">
        <v>4</v>
      </c>
      <c r="I103" s="11">
        <v>519996</v>
      </c>
    </row>
    <row r="104" spans="1:9" x14ac:dyDescent="0.2">
      <c r="A104" s="1">
        <v>46203</v>
      </c>
      <c r="B104" t="s">
        <v>135</v>
      </c>
      <c r="C104" t="s">
        <v>20</v>
      </c>
      <c r="D104" t="s">
        <v>30</v>
      </c>
      <c r="E104" t="s">
        <v>40</v>
      </c>
      <c r="F104" t="s">
        <v>36</v>
      </c>
      <c r="G104" s="11">
        <v>64999</v>
      </c>
      <c r="H104">
        <v>6</v>
      </c>
      <c r="I104" s="11">
        <v>389994</v>
      </c>
    </row>
    <row r="105" spans="1:9" x14ac:dyDescent="0.2">
      <c r="A105" s="1">
        <v>46203</v>
      </c>
      <c r="B105" t="s">
        <v>136</v>
      </c>
      <c r="C105" t="s">
        <v>25</v>
      </c>
      <c r="D105" t="s">
        <v>11</v>
      </c>
      <c r="E105" t="s">
        <v>38</v>
      </c>
      <c r="F105" t="s">
        <v>18</v>
      </c>
      <c r="G105" s="11">
        <v>19999</v>
      </c>
      <c r="H105">
        <v>22</v>
      </c>
      <c r="I105" s="11">
        <v>439978</v>
      </c>
    </row>
    <row r="106" spans="1:9" x14ac:dyDescent="0.2">
      <c r="A106" s="1">
        <v>46203</v>
      </c>
      <c r="B106" t="s">
        <v>137</v>
      </c>
      <c r="C106" t="s">
        <v>29</v>
      </c>
      <c r="D106" t="s">
        <v>16</v>
      </c>
      <c r="E106" t="s">
        <v>33</v>
      </c>
      <c r="F106" t="s">
        <v>13</v>
      </c>
      <c r="G106" s="11">
        <v>12999</v>
      </c>
      <c r="H106">
        <v>30</v>
      </c>
      <c r="I106" s="11">
        <v>389970</v>
      </c>
    </row>
    <row r="107" spans="1:9" x14ac:dyDescent="0.2">
      <c r="A107" s="1">
        <v>46203</v>
      </c>
      <c r="B107" t="s">
        <v>138</v>
      </c>
      <c r="C107" t="s">
        <v>10</v>
      </c>
      <c r="D107" t="s">
        <v>30</v>
      </c>
      <c r="E107" t="s">
        <v>31</v>
      </c>
      <c r="F107" t="s">
        <v>18</v>
      </c>
      <c r="G107" s="11">
        <v>24999</v>
      </c>
      <c r="H107">
        <v>20</v>
      </c>
      <c r="I107" s="11">
        <v>499980</v>
      </c>
    </row>
    <row r="108" spans="1:9" x14ac:dyDescent="0.2">
      <c r="A108" s="1">
        <v>46203</v>
      </c>
      <c r="B108" t="s">
        <v>139</v>
      </c>
      <c r="C108" t="s">
        <v>15</v>
      </c>
      <c r="D108" t="s">
        <v>21</v>
      </c>
      <c r="E108" t="s">
        <v>35</v>
      </c>
      <c r="F108" t="s">
        <v>36</v>
      </c>
      <c r="G108" s="11">
        <v>52999</v>
      </c>
      <c r="H108">
        <v>10</v>
      </c>
      <c r="I108" s="11">
        <v>529990</v>
      </c>
    </row>
    <row r="109" spans="1:9" x14ac:dyDescent="0.2">
      <c r="A109" s="1">
        <v>46203</v>
      </c>
      <c r="B109" t="s">
        <v>140</v>
      </c>
      <c r="C109" t="s">
        <v>20</v>
      </c>
      <c r="D109" t="s">
        <v>26</v>
      </c>
      <c r="E109" t="s">
        <v>27</v>
      </c>
      <c r="F109" t="s">
        <v>18</v>
      </c>
      <c r="G109" s="11">
        <v>25999</v>
      </c>
      <c r="H109">
        <v>15</v>
      </c>
      <c r="I109" s="11">
        <v>389985</v>
      </c>
    </row>
    <row r="110" spans="1:9" x14ac:dyDescent="0.2">
      <c r="A110" s="1">
        <v>46203</v>
      </c>
      <c r="B110" t="s">
        <v>141</v>
      </c>
      <c r="C110" t="s">
        <v>25</v>
      </c>
      <c r="D110" t="s">
        <v>16</v>
      </c>
      <c r="E110" t="s">
        <v>17</v>
      </c>
      <c r="F110" t="s">
        <v>18</v>
      </c>
      <c r="G110" s="11">
        <v>29999</v>
      </c>
      <c r="H110">
        <v>14</v>
      </c>
      <c r="I110" s="11">
        <v>419986</v>
      </c>
    </row>
    <row r="111" spans="1:9" x14ac:dyDescent="0.2">
      <c r="A111" s="1">
        <v>46203</v>
      </c>
      <c r="B111" t="s">
        <v>142</v>
      </c>
      <c r="C111" t="s">
        <v>29</v>
      </c>
      <c r="D111" t="s">
        <v>11</v>
      </c>
      <c r="E111" t="s">
        <v>12</v>
      </c>
      <c r="F111" t="s">
        <v>13</v>
      </c>
      <c r="G111" s="11">
        <v>9999</v>
      </c>
      <c r="H111">
        <v>40</v>
      </c>
      <c r="I111" s="11">
        <v>399960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629EA-B559-4B9E-9101-023A353F8863}">
  <dimension ref="A1:J10"/>
  <sheetViews>
    <sheetView topLeftCell="B1" zoomScale="89" zoomScaleNormal="89" workbookViewId="0">
      <selection activeCell="I10" sqref="I10"/>
    </sheetView>
  </sheetViews>
  <sheetFormatPr defaultRowHeight="15" x14ac:dyDescent="0.2"/>
  <cols>
    <col min="1" max="1" width="13.046875" bestFit="1" customWidth="1"/>
    <col min="2" max="2" width="24.88671875" bestFit="1" customWidth="1"/>
    <col min="3" max="4" width="6.72265625" bestFit="1" customWidth="1"/>
    <col min="5" max="5" width="13.046875" bestFit="1" customWidth="1"/>
    <col min="6" max="6" width="24.88671875" bestFit="1" customWidth="1"/>
    <col min="7" max="8" width="6.72265625" bestFit="1" customWidth="1"/>
    <col min="9" max="9" width="13.046875" bestFit="1" customWidth="1"/>
    <col min="10" max="10" width="24.88671875" bestFit="1" customWidth="1"/>
    <col min="11" max="79" width="6.72265625" bestFit="1" customWidth="1"/>
    <col min="80" max="80" width="10.22265625" bestFit="1" customWidth="1"/>
  </cols>
  <sheetData>
    <row r="1" spans="1:10" x14ac:dyDescent="0.2">
      <c r="A1" s="14" t="s">
        <v>155</v>
      </c>
      <c r="B1" s="14"/>
      <c r="C1" s="14"/>
      <c r="D1" s="14"/>
      <c r="E1" s="14"/>
      <c r="F1" s="14"/>
      <c r="G1" s="14"/>
      <c r="H1" s="14"/>
      <c r="I1" s="14"/>
      <c r="J1" s="14"/>
    </row>
    <row r="2" spans="1:10" x14ac:dyDescent="0.2">
      <c r="A2" s="15" t="s">
        <v>156</v>
      </c>
      <c r="B2" s="15"/>
      <c r="C2" s="2"/>
      <c r="D2" s="2"/>
      <c r="E2" s="15" t="s">
        <v>157</v>
      </c>
      <c r="F2" s="15"/>
      <c r="G2" s="2"/>
      <c r="H2" s="2"/>
      <c r="I2" s="15" t="s">
        <v>158</v>
      </c>
      <c r="J2" s="15"/>
    </row>
    <row r="3" spans="1:10" x14ac:dyDescent="0.2">
      <c r="A3" s="3" t="s">
        <v>146</v>
      </c>
      <c r="B3" s="4" t="s">
        <v>154</v>
      </c>
      <c r="C3" s="4"/>
      <c r="D3" s="4"/>
      <c r="E3" s="3" t="s">
        <v>146</v>
      </c>
      <c r="F3" s="4" t="s">
        <v>154</v>
      </c>
      <c r="G3" s="4"/>
      <c r="H3" s="4"/>
      <c r="I3" s="3" t="s">
        <v>146</v>
      </c>
      <c r="J3" s="4" t="s">
        <v>154</v>
      </c>
    </row>
    <row r="4" spans="1:10" x14ac:dyDescent="0.2">
      <c r="A4" s="5" t="s">
        <v>148</v>
      </c>
      <c r="B4" s="13">
        <v>3326877</v>
      </c>
      <c r="C4" s="4"/>
      <c r="D4" s="4"/>
      <c r="E4" s="5" t="s">
        <v>20</v>
      </c>
      <c r="F4" s="13">
        <v>6829708</v>
      </c>
      <c r="G4" s="4"/>
      <c r="H4" s="4"/>
      <c r="I4" s="5" t="s">
        <v>21</v>
      </c>
      <c r="J4" s="4">
        <v>7214901</v>
      </c>
    </row>
    <row r="5" spans="1:10" x14ac:dyDescent="0.2">
      <c r="A5" s="5" t="s">
        <v>149</v>
      </c>
      <c r="B5" s="13">
        <v>3533858</v>
      </c>
      <c r="C5" s="4"/>
      <c r="D5" s="4"/>
      <c r="E5" s="5" t="s">
        <v>29</v>
      </c>
      <c r="F5" s="13">
        <v>6801726</v>
      </c>
      <c r="G5" s="4"/>
      <c r="H5" s="4"/>
      <c r="I5" s="5" t="s">
        <v>30</v>
      </c>
      <c r="J5" s="4">
        <v>7209790</v>
      </c>
    </row>
    <row r="6" spans="1:10" x14ac:dyDescent="0.2">
      <c r="A6" s="5" t="s">
        <v>150</v>
      </c>
      <c r="B6" s="13">
        <v>4578826</v>
      </c>
      <c r="C6" s="4"/>
      <c r="D6" s="4"/>
      <c r="E6" s="5" t="s">
        <v>25</v>
      </c>
      <c r="F6" s="13">
        <v>6696736</v>
      </c>
      <c r="G6" s="4"/>
      <c r="H6" s="4"/>
      <c r="I6" s="5" t="s">
        <v>16</v>
      </c>
      <c r="J6" s="4">
        <v>9591632</v>
      </c>
    </row>
    <row r="7" spans="1:10" x14ac:dyDescent="0.2">
      <c r="A7" s="5" t="s">
        <v>151</v>
      </c>
      <c r="B7" s="13">
        <v>4068834</v>
      </c>
      <c r="C7" s="4"/>
      <c r="D7" s="4"/>
      <c r="E7" s="5" t="s">
        <v>10</v>
      </c>
      <c r="F7" s="13">
        <v>6830795</v>
      </c>
      <c r="G7" s="4"/>
      <c r="H7" s="4"/>
      <c r="I7" s="5" t="s">
        <v>26</v>
      </c>
      <c r="J7" s="4">
        <v>3561863</v>
      </c>
    </row>
    <row r="8" spans="1:10" x14ac:dyDescent="0.2">
      <c r="A8" s="5" t="s">
        <v>152</v>
      </c>
      <c r="B8" s="13">
        <v>4725842</v>
      </c>
      <c r="C8" s="4"/>
      <c r="D8" s="4"/>
      <c r="E8" s="5" t="s">
        <v>15</v>
      </c>
      <c r="F8" s="13">
        <v>7028734</v>
      </c>
      <c r="G8" s="4"/>
      <c r="H8" s="4"/>
      <c r="I8" s="5" t="s">
        <v>11</v>
      </c>
      <c r="J8" s="4">
        <v>6609513</v>
      </c>
    </row>
    <row r="9" spans="1:10" x14ac:dyDescent="0.2">
      <c r="A9" s="5" t="s">
        <v>153</v>
      </c>
      <c r="B9" s="13">
        <v>13953462</v>
      </c>
      <c r="C9" s="4"/>
      <c r="D9" s="4"/>
      <c r="E9" s="5" t="s">
        <v>147</v>
      </c>
      <c r="F9" s="13">
        <v>34187699</v>
      </c>
      <c r="G9" s="4"/>
      <c r="H9" s="4"/>
      <c r="I9" s="5" t="s">
        <v>147</v>
      </c>
      <c r="J9" s="4">
        <v>34187699</v>
      </c>
    </row>
    <row r="10" spans="1:10" x14ac:dyDescent="0.2">
      <c r="A10" s="5" t="s">
        <v>147</v>
      </c>
      <c r="B10" s="13">
        <v>34187699</v>
      </c>
      <c r="C10" s="4"/>
      <c r="D10" s="4"/>
      <c r="E10" s="4"/>
      <c r="F10" s="4"/>
      <c r="G10" s="4"/>
      <c r="H10" s="4"/>
      <c r="I10" s="4"/>
      <c r="J10" s="4"/>
    </row>
  </sheetData>
  <mergeCells count="4">
    <mergeCell ref="A1:J1"/>
    <mergeCell ref="A2:B2"/>
    <mergeCell ref="E2:F2"/>
    <mergeCell ref="I2:J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366BD-86E1-4FE2-8BDA-6A2A50CD5C96}">
  <dimension ref="A1:M2"/>
  <sheetViews>
    <sheetView showGridLines="0" showRowColHeaders="0" tabSelected="1" zoomScale="55" zoomScaleNormal="55" workbookViewId="0">
      <selection activeCell="F9" sqref="F9"/>
    </sheetView>
  </sheetViews>
  <sheetFormatPr defaultColWidth="9.01171875" defaultRowHeight="13.5" x14ac:dyDescent="0.15"/>
  <cols>
    <col min="1" max="1" width="23" style="4" customWidth="1"/>
    <col min="2" max="2" width="11.97265625" style="4" bestFit="1" customWidth="1"/>
    <col min="3" max="3" width="21.65625" style="9" customWidth="1"/>
    <col min="4" max="16384" width="9.01171875" style="4"/>
  </cols>
  <sheetData>
    <row r="1" spans="1:13" x14ac:dyDescent="0.15">
      <c r="A1" s="7" t="s">
        <v>143</v>
      </c>
      <c r="B1" s="4" t="s">
        <v>144</v>
      </c>
      <c r="C1" s="9" t="s">
        <v>145</v>
      </c>
    </row>
    <row r="2" spans="1:13" x14ac:dyDescent="0.15">
      <c r="A2" s="12">
        <f>SUM(MobileSales[Total_Revenue_INR])</f>
        <v>34187699</v>
      </c>
      <c r="B2" s="8" t="str">
        <f>INDEX(MobileSales[Brand], MATCH(MAX(MobileSales[Total_Revenue_INR]), MobileSales[Total_Revenue_INR], 0))</f>
        <v>Apple</v>
      </c>
      <c r="C2" s="10">
        <f>(SUMIFS(MobileSales[Total_Revenue_INR], MobileSales[Date], "&gt;="&amp;DATE(2026,4,1)) - SUMIFS(MobileSales[Total_Revenue_INR], MobileSales[Date], "&lt;="&amp;DATE(2026,3,31))) / SUMIFS(MobileSales[Total_Revenue_INR], MobileSales[Date], "&lt;="&amp;DATE(2026,3,31))</f>
        <v>0.98854991026316485</v>
      </c>
      <c r="M2" s="6"/>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item1.xml>��
</file>

<file path=customXml/itemProps1.xml><?xml version="1.0" encoding="utf-8"?>
<ds:datastoreItem xmlns:ds="http://schemas.openxmlformats.org/officeDocument/2006/customXml" ds:itemID="{DD97CE94-032F-45AF-82EA-7FF6200DCB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3</vt:i4>
      </vt:variant>
    </vt:vector>
  </HeadingPairs>
  <TitlesOfParts>
    <vt:vector size="3" baseType="lpstr">
      <vt:lpstr>Raw Data</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ALAPATI ROHIT MANIKANTA</dc:creator>
  <cp:lastModifiedBy>ALAPATI ROHIT MANIKANTA</cp:lastModifiedBy>
  <dcterms:created xsi:type="dcterms:W3CDTF">2026-08-12T14:22:17Z</dcterms:created>
  <dcterms:modified xsi:type="dcterms:W3CDTF">2026-08-12T16:19:01Z</dcterms:modified>
</cp:coreProperties>
</file>